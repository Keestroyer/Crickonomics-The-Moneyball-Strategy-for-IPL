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enu\OneDrive\Desktop\IPL_Rids\"/>
    </mc:Choice>
  </mc:AlternateContent>
  <xr:revisionPtr revIDLastSave="0" documentId="13_ncr:1_{9F30BBB1-95B3-4BE2-9BCB-C21170690E7C}" xr6:coauthVersionLast="47" xr6:coauthVersionMax="47" xr10:uidLastSave="{00000000-0000-0000-0000-000000000000}"/>
  <bookViews>
    <workbookView xWindow="-113" yWindow="-113" windowWidth="24267" windowHeight="13023" xr2:uid="{199E0485-D09C-448C-9138-C109878626A0}"/>
  </bookViews>
  <sheets>
    <sheet name="All" sheetId="3" r:id="rId1"/>
    <sheet name="Top Ten" sheetId="4" r:id="rId2"/>
  </sheets>
  <definedNames>
    <definedName name="_xlnm._FilterDatabase" localSheetId="0" hidden="1">All!$A$1:$AD$125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/>
  <c r="AE5" i="4"/>
  <c r="AE4" i="4"/>
  <c r="Q3" i="4"/>
  <c r="Q2" i="4"/>
  <c r="AD10" i="3"/>
  <c r="AD12" i="3"/>
  <c r="AD18" i="3"/>
  <c r="AD22" i="3"/>
  <c r="AD26" i="3"/>
  <c r="AD28" i="3"/>
  <c r="AD50" i="3"/>
  <c r="AD52" i="3"/>
  <c r="AD55" i="3"/>
  <c r="AD56" i="3"/>
  <c r="AD57" i="3"/>
  <c r="AD79" i="3"/>
  <c r="AD85" i="3"/>
  <c r="AD91" i="3"/>
  <c r="AD114" i="3"/>
  <c r="AD115" i="3"/>
  <c r="P49" i="3"/>
  <c r="P68" i="3"/>
  <c r="P100" i="3"/>
  <c r="P86" i="3"/>
  <c r="P35" i="3"/>
  <c r="P21" i="3"/>
  <c r="P94" i="3"/>
  <c r="P17" i="3"/>
  <c r="P83" i="3"/>
  <c r="P120" i="3"/>
  <c r="P76" i="3"/>
  <c r="P38" i="3"/>
  <c r="P63" i="3"/>
  <c r="P51" i="3"/>
  <c r="P92" i="3"/>
  <c r="P25" i="3"/>
  <c r="P30" i="3"/>
  <c r="P24" i="3"/>
  <c r="P73" i="3"/>
  <c r="P78" i="3"/>
  <c r="P103" i="3"/>
  <c r="P4" i="3"/>
  <c r="P65" i="3"/>
  <c r="P109" i="3"/>
  <c r="P96" i="3"/>
  <c r="P59" i="3"/>
  <c r="P71" i="3"/>
  <c r="P37" i="3"/>
  <c r="P55" i="3"/>
  <c r="P9" i="3"/>
  <c r="P45" i="3"/>
  <c r="P118" i="3"/>
</calcChain>
</file>

<file path=xl/sharedStrings.xml><?xml version="1.0" encoding="utf-8"?>
<sst xmlns="http://schemas.openxmlformats.org/spreadsheetml/2006/main" count="415" uniqueCount="214">
  <si>
    <t>Prithvi Shaw</t>
  </si>
  <si>
    <t>Shivam Mavi</t>
  </si>
  <si>
    <t>HS</t>
  </si>
  <si>
    <t>K.S Bharat</t>
  </si>
  <si>
    <t>balls_faced</t>
  </si>
  <si>
    <t>bat_inns</t>
  </si>
  <si>
    <t>matches</t>
  </si>
  <si>
    <t>batting Average</t>
  </si>
  <si>
    <t>hundred</t>
  </si>
  <si>
    <t>wickets</t>
  </si>
  <si>
    <t>bowling Avg</t>
  </si>
  <si>
    <t>catches</t>
  </si>
  <si>
    <t>stumps</t>
  </si>
  <si>
    <t>Fifties</t>
  </si>
  <si>
    <t>Zero</t>
  </si>
  <si>
    <t>Fours</t>
  </si>
  <si>
    <t>Sixes</t>
  </si>
  <si>
    <t>runs_scored</t>
  </si>
  <si>
    <t>bowl_inngs</t>
  </si>
  <si>
    <t>Mdns</t>
  </si>
  <si>
    <t>Runs_against</t>
  </si>
  <si>
    <t>Econ</t>
  </si>
  <si>
    <t>bowl_sr</t>
  </si>
  <si>
    <t>Dismissal</t>
  </si>
  <si>
    <t>D/I</t>
  </si>
  <si>
    <t>Strike Rate</t>
  </si>
  <si>
    <t>Jason Behrendorff</t>
  </si>
  <si>
    <t>Jhye Richardson</t>
  </si>
  <si>
    <t>Michael Bracewell</t>
  </si>
  <si>
    <t>William O'Rourke</t>
  </si>
  <si>
    <t>Jimmy Neesham</t>
  </si>
  <si>
    <t>Riley Meredith</t>
  </si>
  <si>
    <t>Daniel Worrall</t>
  </si>
  <si>
    <t>Matthew Potts</t>
  </si>
  <si>
    <t>Tim Southee</t>
  </si>
  <si>
    <t>Kyle Jamieson</t>
  </si>
  <si>
    <t>Shai Hope</t>
  </si>
  <si>
    <t>Tim Seifert</t>
  </si>
  <si>
    <t>Nandre Burger</t>
  </si>
  <si>
    <t>Sikandar Raza</t>
  </si>
  <si>
    <t>Will Young</t>
  </si>
  <si>
    <t>Obed McCoy</t>
  </si>
  <si>
    <t>Ashton Agar</t>
  </si>
  <si>
    <t>James Anderson</t>
  </si>
  <si>
    <t>Matthew Forde</t>
  </si>
  <si>
    <t>Keemo Paul</t>
  </si>
  <si>
    <t>Alex Carey</t>
  </si>
  <si>
    <t>Ashton Turner</t>
  </si>
  <si>
    <t>Chris Green</t>
  </si>
  <si>
    <t>Shakib Al Hasan</t>
  </si>
  <si>
    <t>Players</t>
  </si>
  <si>
    <t>NO</t>
  </si>
  <si>
    <t>17*</t>
  </si>
  <si>
    <t>Ct_wk</t>
  </si>
  <si>
    <t>Ct_fi</t>
  </si>
  <si>
    <t>97*</t>
  </si>
  <si>
    <t>7*</t>
  </si>
  <si>
    <t>45*</t>
  </si>
  <si>
    <t>125*</t>
  </si>
  <si>
    <t>133*</t>
  </si>
  <si>
    <t>101*</t>
  </si>
  <si>
    <t>51*</t>
  </si>
  <si>
    <t>2*</t>
  </si>
  <si>
    <t>89*</t>
  </si>
  <si>
    <t>84*</t>
  </si>
  <si>
    <t>Dan Lawrence</t>
  </si>
  <si>
    <t xml:space="preserve">Chris Benjamin </t>
  </si>
  <si>
    <t>David Payne</t>
  </si>
  <si>
    <t>Wayne Parnell</t>
  </si>
  <si>
    <t>Keshav Maharaj</t>
  </si>
  <si>
    <t>Vijayakanth Viyaskanth</t>
  </si>
  <si>
    <t>Dewald Brevis</t>
  </si>
  <si>
    <t>Kusal Mendis</t>
  </si>
  <si>
    <t>Kusal Perera,</t>
  </si>
  <si>
    <t>Josh Philippe</t>
  </si>
  <si>
    <t>Rishad Hossain</t>
  </si>
  <si>
    <t>Nqabayomzi Peter,</t>
  </si>
  <si>
    <t>Tanveer Sangha</t>
  </si>
  <si>
    <t>Sediqullah Atal,</t>
  </si>
  <si>
    <t>Brandon King</t>
  </si>
  <si>
    <t>Pathum Nissanka</t>
  </si>
  <si>
    <t>Bhanuka Rajapaksa</t>
  </si>
  <si>
    <t>Johnson Charles</t>
  </si>
  <si>
    <t>Litton Das</t>
  </si>
  <si>
    <t>Andre Fletcher</t>
  </si>
  <si>
    <t>Ollie Pope</t>
  </si>
  <si>
    <t>Kyle Verreynne</t>
  </si>
  <si>
    <t>Richard Gleeson</t>
  </si>
  <si>
    <t>Luke Wood</t>
  </si>
  <si>
    <t>Mikyle Louis</t>
  </si>
  <si>
    <t>Harry Tector</t>
  </si>
  <si>
    <t>120*</t>
  </si>
  <si>
    <t>93*</t>
  </si>
  <si>
    <t>25*</t>
  </si>
  <si>
    <t>105*</t>
  </si>
  <si>
    <t>102*</t>
  </si>
  <si>
    <t>66*</t>
  </si>
  <si>
    <t>11*</t>
  </si>
  <si>
    <t>95*</t>
  </si>
  <si>
    <t>98*</t>
  </si>
  <si>
    <t>119*</t>
  </si>
  <si>
    <t>99*</t>
  </si>
  <si>
    <t>116*</t>
  </si>
  <si>
    <t>108*</t>
  </si>
  <si>
    <t>61*</t>
  </si>
  <si>
    <t>David Warner</t>
  </si>
  <si>
    <t>Jonny Bairstow</t>
  </si>
  <si>
    <t>Kane Williamson</t>
  </si>
  <si>
    <t>Daryl Mitchell</t>
  </si>
  <si>
    <t>Mujeeb Ur Rahman</t>
  </si>
  <si>
    <t>Adil Rashid</t>
  </si>
  <si>
    <t>Finn Allen</t>
  </si>
  <si>
    <t>Ben Duckett</t>
  </si>
  <si>
    <t>Rilee Rossouw</t>
  </si>
  <si>
    <t>James Vince</t>
  </si>
  <si>
    <t>Tom Banton</t>
  </si>
  <si>
    <t>Mustafizur Rahman</t>
  </si>
  <si>
    <t>Naveen Ul Haq</t>
  </si>
  <si>
    <t>Tabraiz Shamsi</t>
  </si>
  <si>
    <t>Evin Lewis</t>
  </si>
  <si>
    <t>Gus Atkinson</t>
  </si>
  <si>
    <t>Tom Curran</t>
  </si>
  <si>
    <t>Matt Henry</t>
  </si>
  <si>
    <t>Alzarri Joseph</t>
  </si>
  <si>
    <t>Rassie Van Der Dussen</t>
  </si>
  <si>
    <t>Sean Abbott</t>
  </si>
  <si>
    <t>Adam Milne</t>
  </si>
  <si>
    <t>Jason Holder</t>
  </si>
  <si>
    <t>Chris Jordan</t>
  </si>
  <si>
    <t>Tymal Mills</t>
  </si>
  <si>
    <t>Akeal Hosein</t>
  </si>
  <si>
    <t>Sam Billings</t>
  </si>
  <si>
    <t>Mark Chapman</t>
  </si>
  <si>
    <t>Mohammad Nabi</t>
  </si>
  <si>
    <t>Tom Latham</t>
  </si>
  <si>
    <t>Kyle Mayers</t>
  </si>
  <si>
    <t>85*</t>
  </si>
  <si>
    <t>21*</t>
  </si>
  <si>
    <t>129*</t>
  </si>
  <si>
    <t>9*</t>
  </si>
  <si>
    <t>30*</t>
  </si>
  <si>
    <t>8*</t>
  </si>
  <si>
    <t>100*</t>
  </si>
  <si>
    <t>10*</t>
  </si>
  <si>
    <t>67*</t>
  </si>
  <si>
    <t>16*</t>
  </si>
  <si>
    <t>29*</t>
  </si>
  <si>
    <t>104*</t>
  </si>
  <si>
    <t>110*</t>
  </si>
  <si>
    <t>55*</t>
  </si>
  <si>
    <t>Ibrahim Zadran</t>
  </si>
  <si>
    <t>Sarfaraz Khan</t>
  </si>
  <si>
    <t>Matthew Short</t>
  </si>
  <si>
    <t>Josh Little</t>
  </si>
  <si>
    <t>22*</t>
  </si>
  <si>
    <t>Navdeep Saini</t>
  </si>
  <si>
    <t>Qais Ahmad</t>
  </si>
  <si>
    <t>43*</t>
  </si>
  <si>
    <t>Charith Asalanka</t>
  </si>
  <si>
    <t>Gudakesh Motie</t>
  </si>
  <si>
    <t>33*</t>
  </si>
  <si>
    <t>Dunith Wellalage</t>
  </si>
  <si>
    <t>Ottneil Baartman</t>
  </si>
  <si>
    <t>Chetan Sakariya</t>
  </si>
  <si>
    <t>Sandeep Warrier</t>
  </si>
  <si>
    <t>Cooper Connolly</t>
  </si>
  <si>
    <t>Dushan Hemantha</t>
  </si>
  <si>
    <t>William Sutherland</t>
  </si>
  <si>
    <t>Ben Dwarshuis</t>
  </si>
  <si>
    <t>40*</t>
  </si>
  <si>
    <t>Olly Stone</t>
  </si>
  <si>
    <t>Zak Foulkes</t>
  </si>
  <si>
    <t>Wiaan Mulder</t>
  </si>
  <si>
    <t>83*</t>
  </si>
  <si>
    <t>Dwaine Pretorius</t>
  </si>
  <si>
    <t>Dasun Shanaka</t>
  </si>
  <si>
    <t>63*</t>
  </si>
  <si>
    <t>Shoriful Islam</t>
  </si>
  <si>
    <t>Blessing Muzarabani</t>
  </si>
  <si>
    <t>Tanzim Hasan Sakib</t>
  </si>
  <si>
    <t>Roston Chase</t>
  </si>
  <si>
    <t>Junior Dala</t>
  </si>
  <si>
    <t>Mahedi Hasan</t>
  </si>
  <si>
    <t>Nangeyalia Kharote</t>
  </si>
  <si>
    <t>Hasan Mahmud</t>
  </si>
  <si>
    <t>12*</t>
  </si>
  <si>
    <t>Nahid Rana</t>
  </si>
  <si>
    <t>Alick Athanaze</t>
  </si>
  <si>
    <t>Hilton Cartwright</t>
  </si>
  <si>
    <t/>
  </si>
  <si>
    <t>Dilshan Madushanka</t>
  </si>
  <si>
    <t>Waqar Salamkheil</t>
  </si>
  <si>
    <t>Towhid Hridoy</t>
  </si>
  <si>
    <t>Balls</t>
  </si>
  <si>
    <t>Anmolpreet Singh</t>
  </si>
  <si>
    <t>Krishnappa Gowtham</t>
  </si>
  <si>
    <t>Utkarsh Singh</t>
  </si>
  <si>
    <t>Yash Dhull</t>
  </si>
  <si>
    <t>Devdutt Padikkal</t>
  </si>
  <si>
    <t>124*</t>
  </si>
  <si>
    <t>Luvnith Sisodia</t>
  </si>
  <si>
    <t>Mayank Agarwal</t>
  </si>
  <si>
    <t>Shardul Thakur</t>
  </si>
  <si>
    <t>Batter</t>
  </si>
  <si>
    <t>Bowler</t>
  </si>
  <si>
    <t>Overall</t>
  </si>
  <si>
    <t>Batting</t>
  </si>
  <si>
    <t>Bowling</t>
  </si>
  <si>
    <t>Fielding</t>
  </si>
  <si>
    <t>Role</t>
  </si>
  <si>
    <t>All-rounder</t>
  </si>
  <si>
    <t>Nationality</t>
  </si>
  <si>
    <t>International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</si>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</sst>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1"/>
      <color theme="1"/>
      <name val="Arial"/>
      <family val="2"/>
    </font>
    <font>
      <sz val="7"/>
      <color rgb="FF222222"/>
      <name val="Tahom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8"/>
      <color rgb="FF222222"/>
      <name val="Tahoma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9"/>
      <color rgb="FF000000"/>
      <name val="Courier New"/>
      <family val="3"/>
    </font>
    <font>
      <sz val="12"/>
      <color rgb="FF222222"/>
      <name val="Tahoma"/>
      <family val="2"/>
    </font>
    <font>
      <b/>
      <sz val="11"/>
      <color theme="1"/>
      <name val="Arial"/>
      <family val="2"/>
    </font>
    <font>
      <b/>
      <sz val="11"/>
      <color rgb="FF222222"/>
      <name val="Arial"/>
      <family val="2"/>
    </font>
    <font>
      <sz val="11"/>
      <color rgb="FF000000"/>
      <name val="Arial"/>
      <family val="2"/>
    </font>
    <font>
      <sz val="11"/>
      <color rgb="FF222222"/>
      <name val="Arial"/>
      <family val="2"/>
    </font>
    <font>
      <sz val="11"/>
      <color rgb="FF222222"/>
      <name val="Tahoma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tted">
        <color rgb="FFC6C6C6"/>
      </bottom>
      <diagonal/>
    </border>
    <border>
      <left/>
      <right/>
      <top/>
      <bottom style="hair">
        <color rgb="FFC6C6C6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164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5" fillId="0" borderId="1" xfId="0" applyFont="1" applyBorder="1" applyAlignment="1">
      <alignment wrapText="1"/>
    </xf>
    <xf numFmtId="0" fontId="5" fillId="0" borderId="1" xfId="0" quotePrefix="1" applyFont="1" applyBorder="1" applyAlignment="1">
      <alignment wrapText="1"/>
    </xf>
    <xf numFmtId="0" fontId="5" fillId="0" borderId="2" xfId="0" applyFont="1" applyBorder="1" applyAlignment="1">
      <alignment horizontal="right" vertical="top"/>
    </xf>
    <xf numFmtId="0" fontId="5" fillId="2" borderId="2" xfId="0" applyFont="1" applyFill="1" applyBorder="1" applyAlignment="1">
      <alignment horizontal="right" vertical="top"/>
    </xf>
    <xf numFmtId="0" fontId="5" fillId="3" borderId="2" xfId="0" applyFont="1" applyFill="1" applyBorder="1" applyAlignment="1">
      <alignment horizontal="right" vertical="top"/>
    </xf>
    <xf numFmtId="0" fontId="5" fillId="0" borderId="0" xfId="0" applyFont="1"/>
    <xf numFmtId="0" fontId="5" fillId="0" borderId="1" xfId="0" applyFont="1" applyBorder="1"/>
    <xf numFmtId="0" fontId="2" fillId="0" borderId="1" xfId="0" applyFont="1" applyBorder="1"/>
    <xf numFmtId="0" fontId="5" fillId="0" borderId="0" xfId="0" applyFont="1" applyAlignment="1">
      <alignment horizontal="right" vertical="top"/>
    </xf>
    <xf numFmtId="0" fontId="2" fillId="0" borderId="2" xfId="0" applyFont="1" applyBorder="1"/>
    <xf numFmtId="0" fontId="5" fillId="0" borderId="1" xfId="0" applyFont="1" applyBorder="1" applyAlignment="1">
      <alignment horizontal="right" vertical="top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5" fillId="0" borderId="2" xfId="0" quotePrefix="1" applyFont="1" applyBorder="1" applyAlignment="1">
      <alignment wrapText="1"/>
    </xf>
    <xf numFmtId="0" fontId="5" fillId="3" borderId="0" xfId="0" applyFont="1" applyFill="1" applyAlignment="1">
      <alignment horizontal="right" vertical="top"/>
    </xf>
    <xf numFmtId="0" fontId="5" fillId="3" borderId="1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64" fontId="2" fillId="0" borderId="0" xfId="0" applyNumberFormat="1" applyFont="1"/>
    <xf numFmtId="164" fontId="2" fillId="0" borderId="1" xfId="0" applyNumberFormat="1" applyFont="1" applyBorder="1"/>
    <xf numFmtId="164" fontId="2" fillId="0" borderId="2" xfId="0" applyNumberFormat="1" applyFont="1" applyBorder="1"/>
    <xf numFmtId="0" fontId="5" fillId="0" borderId="0" xfId="0" applyFont="1" applyAlignment="1">
      <alignment wrapText="1"/>
    </xf>
    <xf numFmtId="0" fontId="5" fillId="0" borderId="0" xfId="0" quotePrefix="1" applyFont="1" applyAlignment="1">
      <alignment wrapText="1"/>
    </xf>
    <xf numFmtId="0" fontId="5" fillId="2" borderId="0" xfId="0" applyFont="1" applyFill="1" applyAlignment="1">
      <alignment horizontal="right" vertical="top"/>
    </xf>
    <xf numFmtId="1" fontId="5" fillId="0" borderId="0" xfId="0" applyNumberFormat="1" applyFont="1" applyAlignment="1">
      <alignment wrapText="1"/>
    </xf>
    <xf numFmtId="164" fontId="5" fillId="0" borderId="0" xfId="0" applyNumberFormat="1" applyFont="1" applyAlignment="1">
      <alignment wrapText="1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" fontId="1" fillId="0" borderId="1" xfId="0" applyNumberFormat="1" applyFont="1" applyBorder="1" applyAlignment="1">
      <alignment horizontal="right" vertical="center" wrapText="1"/>
    </xf>
    <xf numFmtId="17" fontId="1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1" fontId="10" fillId="0" borderId="1" xfId="0" applyNumberFormat="1" applyFont="1" applyBorder="1" applyAlignment="1">
      <alignment horizontal="right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13" fillId="0" borderId="0" xfId="0" applyFont="1"/>
    <xf numFmtId="0" fontId="14" fillId="0" borderId="1" xfId="0" applyFont="1" applyBorder="1" applyAlignment="1">
      <alignment horizontal="right" vertical="top"/>
    </xf>
    <xf numFmtId="0" fontId="14" fillId="0" borderId="0" xfId="0" applyFont="1" applyAlignment="1">
      <alignment horizontal="right" vertical="top"/>
    </xf>
    <xf numFmtId="0" fontId="14" fillId="0" borderId="2" xfId="0" applyFont="1" applyBorder="1"/>
    <xf numFmtId="0" fontId="14" fillId="0" borderId="1" xfId="0" applyFont="1" applyBorder="1" applyAlignment="1">
      <alignment wrapText="1"/>
    </xf>
    <xf numFmtId="164" fontId="0" fillId="0" borderId="0" xfId="0" applyNumberFormat="1" applyFont="1"/>
    <xf numFmtId="0" fontId="0" fillId="0" borderId="0" xfId="0" applyFont="1" applyAlignment="1">
      <alignment vertical="center"/>
    </xf>
    <xf numFmtId="0" fontId="14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1" fontId="15" fillId="0" borderId="1" xfId="0" applyNumberFormat="1" applyFont="1" applyBorder="1" applyAlignment="1">
      <alignment horizontal="right" vertical="center" wrapText="1"/>
    </xf>
    <xf numFmtId="0" fontId="14" fillId="3" borderId="0" xfId="0" applyFont="1" applyFill="1" applyAlignment="1">
      <alignment horizontal="right" vertical="top"/>
    </xf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horizontal="right" vertical="center" wrapText="1"/>
    </xf>
    <xf numFmtId="0" fontId="14" fillId="2" borderId="1" xfId="0" applyFont="1" applyFill="1" applyBorder="1" applyAlignment="1">
      <alignment horizontal="right" vertical="top"/>
    </xf>
    <xf numFmtId="0" fontId="14" fillId="0" borderId="0" xfId="0" applyFont="1"/>
    <xf numFmtId="49" fontId="0" fillId="0" borderId="0" xfId="0" applyNumberFormat="1" applyFont="1"/>
    <xf numFmtId="0" fontId="16" fillId="0" borderId="0" xfId="0" applyFont="1"/>
    <xf numFmtId="0" fontId="14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60E5-B4D7-42D6-AE80-130A89276F82}">
  <dimension ref="A1:AG125"/>
  <sheetViews>
    <sheetView tabSelected="1" topLeftCell="C1" zoomScale="99" workbookViewId="0">
      <pane ySplit="1" topLeftCell="A96" activePane="bottomLeft" state="frozen"/>
      <selection activeCell="T1" sqref="T1"/>
      <selection pane="bottomLeft" activeCell="F106" sqref="F106"/>
    </sheetView>
  </sheetViews>
  <sheetFormatPr defaultRowHeight="14.4" x14ac:dyDescent="0.25"/>
  <cols>
    <col min="1" max="1" width="22.09765625" bestFit="1" customWidth="1"/>
    <col min="2" max="2" width="8.796875" bestFit="1" customWidth="1"/>
    <col min="3" max="3" width="9" customWidth="1"/>
    <col min="4" max="4" width="3.8984375" bestFit="1" customWidth="1"/>
    <col min="5" max="5" width="13.296875" customWidth="1"/>
    <col min="6" max="6" width="5" bestFit="1" customWidth="1"/>
    <col min="7" max="7" width="15.8984375" bestFit="1" customWidth="1"/>
    <col min="8" max="8" width="11.59765625" bestFit="1" customWidth="1"/>
    <col min="9" max="9" width="11.296875" bestFit="1" customWidth="1"/>
    <col min="10" max="10" width="8.796875" bestFit="1" customWidth="1"/>
    <col min="11" max="11" width="6.69921875" bestFit="1" customWidth="1"/>
    <col min="12" max="12" width="5.09765625" bestFit="1" customWidth="1"/>
    <col min="13" max="13" width="6.3984375" bestFit="1" customWidth="1"/>
    <col min="14" max="14" width="6" bestFit="1" customWidth="1"/>
    <col min="15" max="15" width="11.59765625" bestFit="1" customWidth="1"/>
    <col min="16" max="16" width="7.5" bestFit="1" customWidth="1"/>
    <col min="17" max="17" width="6.09765625" bestFit="1" customWidth="1"/>
    <col min="18" max="18" width="13.8984375" bestFit="1" customWidth="1"/>
    <col min="19" max="19" width="8" bestFit="1" customWidth="1"/>
    <col min="20" max="20" width="12.3984375" bestFit="1" customWidth="1"/>
    <col min="21" max="21" width="5.8984375" bestFit="1" customWidth="1"/>
    <col min="22" max="22" width="8.296875" bestFit="1" customWidth="1"/>
    <col min="23" max="23" width="3.5" customWidth="1"/>
    <col min="24" max="24" width="2" bestFit="1" customWidth="1"/>
    <col min="25" max="25" width="9.8984375" bestFit="1" customWidth="1"/>
    <col min="26" max="26" width="8.296875" bestFit="1" customWidth="1"/>
    <col min="27" max="27" width="7.8984375" bestFit="1" customWidth="1"/>
    <col min="28" max="28" width="6.69921875" bestFit="1" customWidth="1"/>
    <col min="29" max="29" width="5.296875" bestFit="1" customWidth="1"/>
    <col min="30" max="30" width="12.5" bestFit="1" customWidth="1"/>
    <col min="32" max="32" width="3.8984375" bestFit="1" customWidth="1"/>
    <col min="35" max="35" width="1.3984375" bestFit="1" customWidth="1"/>
  </cols>
  <sheetData>
    <row r="1" spans="1:33" ht="15.05" x14ac:dyDescent="0.25">
      <c r="A1" s="3" t="s">
        <v>50</v>
      </c>
      <c r="B1" s="4" t="s">
        <v>6</v>
      </c>
      <c r="C1" s="4" t="s">
        <v>5</v>
      </c>
      <c r="D1" s="4" t="s">
        <v>51</v>
      </c>
      <c r="E1" s="4" t="s">
        <v>17</v>
      </c>
      <c r="F1" s="4" t="s">
        <v>2</v>
      </c>
      <c r="G1" s="4" t="s">
        <v>7</v>
      </c>
      <c r="H1" s="4" t="s">
        <v>4</v>
      </c>
      <c r="I1" s="4" t="s">
        <v>25</v>
      </c>
      <c r="J1" s="4" t="s">
        <v>8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18</v>
      </c>
      <c r="P1" s="4" t="s">
        <v>193</v>
      </c>
      <c r="Q1" s="4" t="s">
        <v>19</v>
      </c>
      <c r="R1" s="4" t="s">
        <v>20</v>
      </c>
      <c r="S1" s="4" t="s">
        <v>9</v>
      </c>
      <c r="T1" s="4" t="s">
        <v>10</v>
      </c>
      <c r="U1" s="4" t="s">
        <v>21</v>
      </c>
      <c r="V1" s="4" t="s">
        <v>22</v>
      </c>
      <c r="W1" s="4">
        <v>4</v>
      </c>
      <c r="X1" s="4">
        <v>5</v>
      </c>
      <c r="Y1" s="4" t="s">
        <v>23</v>
      </c>
      <c r="Z1" s="4" t="s">
        <v>11</v>
      </c>
      <c r="AA1" s="4" t="s">
        <v>12</v>
      </c>
      <c r="AB1" s="4" t="s">
        <v>53</v>
      </c>
      <c r="AC1" s="4" t="s">
        <v>54</v>
      </c>
      <c r="AD1" s="4" t="s">
        <v>24</v>
      </c>
    </row>
    <row r="2" spans="1:33" ht="15.05" x14ac:dyDescent="0.25">
      <c r="A2" s="10" t="s">
        <v>126</v>
      </c>
      <c r="B2" s="21">
        <v>81</v>
      </c>
      <c r="C2" s="21">
        <v>37</v>
      </c>
      <c r="D2" s="21">
        <v>14</v>
      </c>
      <c r="E2" s="21">
        <v>194</v>
      </c>
      <c r="F2" s="21">
        <v>22</v>
      </c>
      <c r="G2" s="21">
        <v>8.43</v>
      </c>
      <c r="H2" s="21">
        <v>184</v>
      </c>
      <c r="I2" s="21">
        <v>105.43</v>
      </c>
      <c r="J2" s="21">
        <v>0</v>
      </c>
      <c r="K2" s="21">
        <v>0</v>
      </c>
      <c r="L2" s="21">
        <v>6</v>
      </c>
      <c r="M2" s="21">
        <v>7</v>
      </c>
      <c r="N2" s="21">
        <v>12</v>
      </c>
      <c r="O2" s="21">
        <v>77</v>
      </c>
      <c r="P2" s="21">
        <v>260</v>
      </c>
      <c r="Q2" s="2"/>
      <c r="R2" s="21">
        <v>2170</v>
      </c>
      <c r="S2" s="21">
        <v>96</v>
      </c>
      <c r="T2" s="21">
        <v>22.6</v>
      </c>
      <c r="U2" s="21">
        <v>8.34</v>
      </c>
      <c r="V2" s="21">
        <v>16.2</v>
      </c>
      <c r="W2" s="21">
        <v>2</v>
      </c>
      <c r="X2" s="27">
        <v>2</v>
      </c>
      <c r="Y2" s="21">
        <v>17</v>
      </c>
      <c r="Z2" s="21">
        <v>17</v>
      </c>
      <c r="AA2" s="21">
        <v>0</v>
      </c>
      <c r="AB2" s="19">
        <v>0</v>
      </c>
      <c r="AC2" s="21">
        <v>17</v>
      </c>
      <c r="AD2" s="21">
        <v>0.22</v>
      </c>
    </row>
    <row r="3" spans="1:33" ht="15.05" x14ac:dyDescent="0.25">
      <c r="A3" s="10" t="s">
        <v>110</v>
      </c>
      <c r="B3" s="21">
        <v>127</v>
      </c>
      <c r="C3" s="21">
        <v>42</v>
      </c>
      <c r="D3" s="21">
        <v>16</v>
      </c>
      <c r="E3" s="21">
        <v>245</v>
      </c>
      <c r="F3" s="21" t="s">
        <v>137</v>
      </c>
      <c r="G3" s="21">
        <v>9.42</v>
      </c>
      <c r="H3" s="21">
        <v>223</v>
      </c>
      <c r="I3" s="21">
        <v>109.86</v>
      </c>
      <c r="J3" s="21">
        <v>0</v>
      </c>
      <c r="K3" s="21">
        <v>0</v>
      </c>
      <c r="L3" s="21">
        <v>7</v>
      </c>
      <c r="M3" s="21">
        <v>25</v>
      </c>
      <c r="N3" s="21">
        <v>6</v>
      </c>
      <c r="O3" s="21">
        <v>120</v>
      </c>
      <c r="P3" s="21">
        <v>426</v>
      </c>
      <c r="Q3" s="18"/>
      <c r="R3" s="21">
        <v>3286</v>
      </c>
      <c r="S3" s="21">
        <v>131</v>
      </c>
      <c r="T3" s="21">
        <v>25.08</v>
      </c>
      <c r="U3" s="21">
        <v>7.71</v>
      </c>
      <c r="V3" s="21">
        <v>19.5</v>
      </c>
      <c r="W3" s="21">
        <v>3</v>
      </c>
      <c r="X3" s="21">
        <v>0</v>
      </c>
      <c r="Y3" s="21">
        <v>29</v>
      </c>
      <c r="Z3" s="21">
        <v>29</v>
      </c>
      <c r="AA3" s="21">
        <v>0</v>
      </c>
      <c r="AB3" s="21">
        <v>0</v>
      </c>
      <c r="AC3" s="21">
        <v>29</v>
      </c>
      <c r="AD3" s="21">
        <v>0.22800000000000001</v>
      </c>
      <c r="AG3" s="1"/>
    </row>
    <row r="4" spans="1:33" ht="15.05" x14ac:dyDescent="0.25">
      <c r="A4" s="10" t="s">
        <v>130</v>
      </c>
      <c r="B4" s="21">
        <v>176</v>
      </c>
      <c r="C4" s="21">
        <v>88</v>
      </c>
      <c r="D4" s="21">
        <v>33</v>
      </c>
      <c r="E4" s="21">
        <v>822</v>
      </c>
      <c r="F4" s="21" t="s">
        <v>149</v>
      </c>
      <c r="G4" s="21">
        <v>14.94</v>
      </c>
      <c r="H4" s="21">
        <v>738</v>
      </c>
      <c r="I4" s="21">
        <v>111.38</v>
      </c>
      <c r="J4" s="21">
        <v>0</v>
      </c>
      <c r="K4" s="21">
        <v>1</v>
      </c>
      <c r="L4" s="21">
        <v>10</v>
      </c>
      <c r="M4" s="21">
        <v>48</v>
      </c>
      <c r="N4" s="21">
        <v>38</v>
      </c>
      <c r="O4" s="21">
        <v>172</v>
      </c>
      <c r="P4" s="21">
        <f>ROUND(616.666666666667*6,0)</f>
        <v>3700</v>
      </c>
      <c r="Q4" s="2"/>
      <c r="R4" s="21">
        <v>4480</v>
      </c>
      <c r="S4" s="21">
        <v>179</v>
      </c>
      <c r="T4" s="21">
        <v>25.02</v>
      </c>
      <c r="U4" s="21">
        <v>7.26</v>
      </c>
      <c r="V4" s="21">
        <v>20.6</v>
      </c>
      <c r="W4" s="21">
        <v>4</v>
      </c>
      <c r="X4" s="27">
        <v>1</v>
      </c>
      <c r="Y4" s="21">
        <v>34</v>
      </c>
      <c r="Z4" s="21">
        <v>34</v>
      </c>
      <c r="AA4" s="21">
        <v>0</v>
      </c>
      <c r="AB4" s="21">
        <v>0</v>
      </c>
      <c r="AC4" s="21">
        <v>34</v>
      </c>
      <c r="AD4" s="21">
        <v>0.19600000000000001</v>
      </c>
      <c r="AG4" s="1"/>
    </row>
    <row r="5" spans="1:33" ht="15.05" x14ac:dyDescent="0.25">
      <c r="A5" s="8" t="s">
        <v>46</v>
      </c>
      <c r="B5" s="5">
        <v>12</v>
      </c>
      <c r="C5" s="5">
        <v>11</v>
      </c>
      <c r="D5" s="5">
        <v>0</v>
      </c>
      <c r="E5" s="5">
        <v>245</v>
      </c>
      <c r="F5" s="5">
        <v>65</v>
      </c>
      <c r="G5" s="5">
        <v>22.27</v>
      </c>
      <c r="H5" s="5">
        <v>172</v>
      </c>
      <c r="I5" s="5">
        <v>142.44</v>
      </c>
      <c r="J5" s="5">
        <v>0</v>
      </c>
      <c r="K5" s="5">
        <v>2</v>
      </c>
      <c r="L5" s="5">
        <v>0</v>
      </c>
      <c r="M5" s="5">
        <v>27</v>
      </c>
      <c r="N5" s="5">
        <v>6</v>
      </c>
      <c r="O5" s="5"/>
      <c r="P5" s="18"/>
      <c r="Q5" s="18"/>
      <c r="R5" s="18"/>
      <c r="S5" s="18"/>
      <c r="T5" s="18"/>
      <c r="U5" s="18"/>
      <c r="V5" s="18"/>
      <c r="W5" s="18"/>
      <c r="X5" s="18"/>
      <c r="Y5" s="5">
        <v>10</v>
      </c>
      <c r="Z5" s="5">
        <v>6</v>
      </c>
      <c r="AA5" s="5">
        <v>4</v>
      </c>
      <c r="AB5" s="5">
        <v>6</v>
      </c>
      <c r="AC5" s="5">
        <v>0</v>
      </c>
      <c r="AD5" s="5">
        <v>0.90900000000000003</v>
      </c>
    </row>
    <row r="6" spans="1:33" ht="15.05" x14ac:dyDescent="0.25">
      <c r="A6" s="2" t="s">
        <v>187</v>
      </c>
      <c r="B6" s="17">
        <v>35</v>
      </c>
      <c r="C6" s="17">
        <v>32</v>
      </c>
      <c r="D6" s="17">
        <v>5</v>
      </c>
      <c r="E6" s="17">
        <v>663</v>
      </c>
      <c r="F6" s="17">
        <v>76</v>
      </c>
      <c r="G6" s="17">
        <v>24.55</v>
      </c>
      <c r="H6" s="17">
        <v>566</v>
      </c>
      <c r="I6" s="17">
        <v>117.13</v>
      </c>
      <c r="J6" s="17">
        <v>0</v>
      </c>
      <c r="K6" s="17">
        <v>2</v>
      </c>
      <c r="L6" s="17">
        <v>1</v>
      </c>
      <c r="M6" s="17">
        <v>52</v>
      </c>
      <c r="N6" s="17">
        <v>29</v>
      </c>
      <c r="O6" s="18"/>
      <c r="P6" s="18"/>
      <c r="Q6" s="2"/>
      <c r="R6" s="18"/>
      <c r="S6" s="18"/>
      <c r="T6" s="18"/>
      <c r="U6" s="18"/>
      <c r="V6" s="18"/>
      <c r="W6" s="18"/>
      <c r="X6" s="18"/>
      <c r="Y6" s="17">
        <v>15</v>
      </c>
      <c r="Z6" s="17">
        <v>15</v>
      </c>
      <c r="AA6" s="17">
        <v>0</v>
      </c>
      <c r="AB6" s="17">
        <v>0</v>
      </c>
      <c r="AC6" s="17">
        <v>15</v>
      </c>
      <c r="AD6" s="17">
        <v>0.42799999999999999</v>
      </c>
      <c r="AG6" s="1"/>
    </row>
    <row r="7" spans="1:33" ht="15.05" x14ac:dyDescent="0.25">
      <c r="A7" s="10" t="s">
        <v>123</v>
      </c>
      <c r="B7" s="21">
        <v>130</v>
      </c>
      <c r="C7" s="21">
        <v>55</v>
      </c>
      <c r="D7" s="21">
        <v>26</v>
      </c>
      <c r="E7" s="21">
        <v>363</v>
      </c>
      <c r="F7" s="21" t="s">
        <v>146</v>
      </c>
      <c r="G7" s="21">
        <v>12.51</v>
      </c>
      <c r="H7" s="21">
        <v>337</v>
      </c>
      <c r="I7" s="21">
        <v>107.71</v>
      </c>
      <c r="J7" s="21">
        <v>0</v>
      </c>
      <c r="K7" s="21">
        <v>0</v>
      </c>
      <c r="L7" s="21">
        <v>11</v>
      </c>
      <c r="M7" s="21">
        <v>25</v>
      </c>
      <c r="N7" s="21">
        <v>18</v>
      </c>
      <c r="O7" s="21">
        <v>126</v>
      </c>
      <c r="P7" s="21">
        <v>458</v>
      </c>
      <c r="Q7" s="19">
        <v>5</v>
      </c>
      <c r="R7" s="21">
        <v>4009</v>
      </c>
      <c r="S7" s="21">
        <v>159</v>
      </c>
      <c r="T7" s="21">
        <v>25.21</v>
      </c>
      <c r="U7" s="21">
        <v>8.75</v>
      </c>
      <c r="V7" s="21">
        <v>17.2</v>
      </c>
      <c r="W7" s="21">
        <v>4</v>
      </c>
      <c r="X7" s="28">
        <v>1</v>
      </c>
      <c r="Y7" s="21">
        <v>39</v>
      </c>
      <c r="Z7" s="21">
        <v>39</v>
      </c>
      <c r="AA7" s="21">
        <v>0</v>
      </c>
      <c r="AB7" s="21">
        <v>0</v>
      </c>
      <c r="AC7" s="21">
        <v>39</v>
      </c>
      <c r="AD7" s="21">
        <v>0.309</v>
      </c>
      <c r="AG7" s="1"/>
    </row>
    <row r="8" spans="1:33" ht="15.05" x14ac:dyDescent="0.25">
      <c r="A8" s="10" t="s">
        <v>84</v>
      </c>
      <c r="B8" s="11">
        <v>85</v>
      </c>
      <c r="C8" s="11">
        <v>81</v>
      </c>
      <c r="D8" s="11">
        <v>6</v>
      </c>
      <c r="E8" s="11">
        <v>2421</v>
      </c>
      <c r="F8" s="11">
        <v>118</v>
      </c>
      <c r="G8" s="11">
        <v>32.28</v>
      </c>
      <c r="H8" s="11">
        <v>1748</v>
      </c>
      <c r="I8" s="11">
        <v>138.5</v>
      </c>
      <c r="J8" s="11">
        <v>3</v>
      </c>
      <c r="K8" s="11">
        <v>15</v>
      </c>
      <c r="L8" s="11">
        <v>10</v>
      </c>
      <c r="M8" s="11">
        <v>214</v>
      </c>
      <c r="N8" s="11">
        <v>123</v>
      </c>
      <c r="O8" s="11">
        <v>2</v>
      </c>
      <c r="P8" s="11">
        <v>17</v>
      </c>
      <c r="Q8" s="2"/>
      <c r="R8" s="11">
        <v>24</v>
      </c>
      <c r="S8" s="11">
        <v>1</v>
      </c>
      <c r="T8" s="11">
        <v>24</v>
      </c>
      <c r="U8" s="11">
        <v>8.4700000000000006</v>
      </c>
      <c r="V8" s="11">
        <v>17</v>
      </c>
      <c r="W8" s="11">
        <v>0</v>
      </c>
      <c r="X8" s="11">
        <v>0</v>
      </c>
      <c r="Y8" s="11">
        <v>37</v>
      </c>
      <c r="Z8" s="11">
        <v>34</v>
      </c>
      <c r="AA8" s="11">
        <v>3</v>
      </c>
      <c r="AB8" s="11">
        <v>16</v>
      </c>
      <c r="AC8" s="11">
        <v>18</v>
      </c>
      <c r="AD8" s="11">
        <v>0.435</v>
      </c>
      <c r="AG8" s="1"/>
    </row>
    <row r="9" spans="1:33" ht="15.05" x14ac:dyDescent="0.25">
      <c r="A9" s="8" t="s">
        <v>42</v>
      </c>
      <c r="B9" s="5">
        <v>44</v>
      </c>
      <c r="C9" s="5">
        <v>27</v>
      </c>
      <c r="D9" s="5">
        <v>11</v>
      </c>
      <c r="E9" s="5">
        <v>263</v>
      </c>
      <c r="F9" s="5" t="s">
        <v>61</v>
      </c>
      <c r="G9" s="5">
        <v>16.43</v>
      </c>
      <c r="H9" s="5">
        <v>198</v>
      </c>
      <c r="I9" s="5">
        <v>132.82</v>
      </c>
      <c r="J9" s="5">
        <v>0</v>
      </c>
      <c r="K9" s="5">
        <v>1</v>
      </c>
      <c r="L9" s="5">
        <v>4</v>
      </c>
      <c r="M9" s="5">
        <v>9</v>
      </c>
      <c r="N9" s="5">
        <v>18</v>
      </c>
      <c r="O9" s="5">
        <v>44</v>
      </c>
      <c r="P9" s="5">
        <f>154*6</f>
        <v>924</v>
      </c>
      <c r="Q9" s="6">
        <v>3</v>
      </c>
      <c r="R9" s="5">
        <v>1155</v>
      </c>
      <c r="S9" s="5">
        <v>27</v>
      </c>
      <c r="T9" s="5">
        <v>42.77</v>
      </c>
      <c r="U9" s="5">
        <v>7.5</v>
      </c>
      <c r="V9" s="5">
        <v>34.200000000000003</v>
      </c>
      <c r="W9" s="5">
        <v>0</v>
      </c>
      <c r="X9" s="5">
        <v>0</v>
      </c>
      <c r="Y9" s="5">
        <v>22</v>
      </c>
      <c r="Z9" s="5">
        <v>22</v>
      </c>
      <c r="AA9" s="5">
        <v>0</v>
      </c>
      <c r="AB9" s="5">
        <v>0</v>
      </c>
      <c r="AC9" s="5">
        <v>22</v>
      </c>
      <c r="AD9" s="5">
        <v>0.5</v>
      </c>
      <c r="AG9" s="1"/>
    </row>
    <row r="10" spans="1:33" ht="15.05" x14ac:dyDescent="0.25">
      <c r="A10" s="8" t="s">
        <v>47</v>
      </c>
      <c r="B10" s="5">
        <v>96</v>
      </c>
      <c r="C10" s="5">
        <v>88</v>
      </c>
      <c r="D10" s="5">
        <v>28</v>
      </c>
      <c r="E10" s="5">
        <v>1773</v>
      </c>
      <c r="F10" s="5" t="s">
        <v>64</v>
      </c>
      <c r="G10" s="5">
        <v>29.55</v>
      </c>
      <c r="H10" s="5">
        <v>1230</v>
      </c>
      <c r="I10" s="5">
        <v>144.13999999999999</v>
      </c>
      <c r="J10" s="5">
        <v>0</v>
      </c>
      <c r="K10" s="5">
        <v>7</v>
      </c>
      <c r="L10" s="5">
        <v>5</v>
      </c>
      <c r="M10" s="5">
        <v>142</v>
      </c>
      <c r="N10" s="5">
        <v>55</v>
      </c>
      <c r="O10" s="46">
        <v>33</v>
      </c>
      <c r="P10" s="46">
        <v>310</v>
      </c>
      <c r="Q10" s="47">
        <v>0</v>
      </c>
      <c r="R10" s="46">
        <v>420</v>
      </c>
      <c r="S10" s="48">
        <v>62</v>
      </c>
      <c r="T10" s="46">
        <v>38.18</v>
      </c>
      <c r="U10" s="46">
        <v>8.1199999999999992</v>
      </c>
      <c r="V10" s="46">
        <v>28.1</v>
      </c>
      <c r="W10" s="46">
        <v>0</v>
      </c>
      <c r="X10" s="46">
        <v>0</v>
      </c>
      <c r="Y10" s="46">
        <v>45</v>
      </c>
      <c r="Z10" s="46">
        <v>45</v>
      </c>
      <c r="AA10" s="46">
        <v>0</v>
      </c>
      <c r="AB10" s="46">
        <v>0</v>
      </c>
      <c r="AC10" s="46">
        <v>45</v>
      </c>
      <c r="AD10" s="32">
        <f>Y10/B10</f>
        <v>0.46875</v>
      </c>
      <c r="AG10" s="1"/>
    </row>
    <row r="11" spans="1:33" ht="15.05" x14ac:dyDescent="0.25">
      <c r="A11" s="10" t="s">
        <v>112</v>
      </c>
      <c r="B11" s="21">
        <v>71</v>
      </c>
      <c r="C11" s="21">
        <v>71</v>
      </c>
      <c r="D11" s="21">
        <v>11</v>
      </c>
      <c r="E11" s="21">
        <v>1978</v>
      </c>
      <c r="F11" s="21">
        <v>92</v>
      </c>
      <c r="G11" s="21">
        <v>32.96</v>
      </c>
      <c r="H11" s="21">
        <v>1310</v>
      </c>
      <c r="I11" s="21">
        <v>150.99</v>
      </c>
      <c r="J11" s="21">
        <v>0</v>
      </c>
      <c r="K11" s="21">
        <v>12</v>
      </c>
      <c r="L11" s="21">
        <v>5</v>
      </c>
      <c r="M11" s="21">
        <v>247</v>
      </c>
      <c r="N11" s="21">
        <v>44</v>
      </c>
      <c r="O11" s="21">
        <v>0</v>
      </c>
      <c r="P11" s="21">
        <v>0</v>
      </c>
      <c r="Q11" s="18"/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38</v>
      </c>
      <c r="Z11" s="21">
        <v>38</v>
      </c>
      <c r="AA11" s="21">
        <v>0</v>
      </c>
      <c r="AB11" s="21">
        <v>0</v>
      </c>
      <c r="AC11" s="21">
        <v>38</v>
      </c>
      <c r="AD11" s="21">
        <v>0.55800000000000005</v>
      </c>
      <c r="AG11" s="1"/>
    </row>
    <row r="12" spans="1:33" ht="15.05" x14ac:dyDescent="0.25">
      <c r="A12" s="2" t="s">
        <v>168</v>
      </c>
      <c r="B12" s="17">
        <v>48</v>
      </c>
      <c r="C12" s="17">
        <v>34</v>
      </c>
      <c r="D12" s="17">
        <v>14</v>
      </c>
      <c r="E12" s="17">
        <v>342</v>
      </c>
      <c r="F12" s="17" t="s">
        <v>169</v>
      </c>
      <c r="G12" s="17">
        <v>17.100000000000001</v>
      </c>
      <c r="H12" s="17">
        <v>216</v>
      </c>
      <c r="I12" s="17">
        <v>158.33000000000001</v>
      </c>
      <c r="J12" s="17">
        <v>0</v>
      </c>
      <c r="K12" s="17">
        <v>0</v>
      </c>
      <c r="L12" s="17">
        <v>8</v>
      </c>
      <c r="M12" s="17">
        <v>17</v>
      </c>
      <c r="N12" s="17">
        <v>23</v>
      </c>
      <c r="O12" s="17">
        <v>48</v>
      </c>
      <c r="P12" s="16">
        <v>1010</v>
      </c>
      <c r="Q12" s="2"/>
      <c r="R12" s="16">
        <v>1361</v>
      </c>
      <c r="S12" s="16">
        <v>62</v>
      </c>
      <c r="T12" s="16">
        <v>21.95</v>
      </c>
      <c r="U12" s="16">
        <v>8.08</v>
      </c>
      <c r="V12" s="16">
        <v>16.2</v>
      </c>
      <c r="W12" s="16">
        <v>2</v>
      </c>
      <c r="X12" s="16">
        <v>1</v>
      </c>
      <c r="Y12" s="18"/>
      <c r="Z12" s="18"/>
      <c r="AA12" s="18"/>
      <c r="AB12" s="18"/>
      <c r="AC12" s="18"/>
      <c r="AD12" s="32">
        <f>Y12/B12</f>
        <v>0</v>
      </c>
      <c r="AG12" s="1"/>
    </row>
    <row r="13" spans="1:33" ht="15.05" x14ac:dyDescent="0.25">
      <c r="A13" s="10" t="s">
        <v>81</v>
      </c>
      <c r="B13" s="11">
        <v>94</v>
      </c>
      <c r="C13" s="11">
        <v>89</v>
      </c>
      <c r="D13" s="11">
        <v>10</v>
      </c>
      <c r="E13" s="11">
        <v>1653</v>
      </c>
      <c r="F13" s="11">
        <v>88</v>
      </c>
      <c r="G13" s="11">
        <v>20.92</v>
      </c>
      <c r="H13" s="11">
        <v>1210</v>
      </c>
      <c r="I13" s="11">
        <v>136.61000000000001</v>
      </c>
      <c r="J13" s="11">
        <v>0</v>
      </c>
      <c r="K13" s="11">
        <v>6</v>
      </c>
      <c r="L13" s="11">
        <v>7</v>
      </c>
      <c r="M13" s="11">
        <v>148</v>
      </c>
      <c r="N13" s="11">
        <v>80</v>
      </c>
      <c r="O13" s="12" t="s">
        <v>189</v>
      </c>
      <c r="P13" s="36" t="s">
        <v>189</v>
      </c>
      <c r="Q13" s="2"/>
      <c r="R13" s="36" t="s">
        <v>189</v>
      </c>
      <c r="S13" s="36" t="s">
        <v>189</v>
      </c>
      <c r="T13" s="36" t="s">
        <v>189</v>
      </c>
      <c r="U13" s="36" t="s">
        <v>189</v>
      </c>
      <c r="V13" s="36" t="s">
        <v>189</v>
      </c>
      <c r="W13" s="36" t="s">
        <v>189</v>
      </c>
      <c r="X13" s="36" t="s">
        <v>189</v>
      </c>
      <c r="Y13" s="11">
        <v>23</v>
      </c>
      <c r="Z13" s="11">
        <v>23</v>
      </c>
      <c r="AA13" s="11">
        <v>0</v>
      </c>
      <c r="AB13" s="11">
        <v>1</v>
      </c>
      <c r="AC13" s="11">
        <v>22</v>
      </c>
      <c r="AD13" s="35">
        <v>0.25</v>
      </c>
      <c r="AG13" s="1"/>
    </row>
    <row r="14" spans="1:33" ht="15.05" x14ac:dyDescent="0.25">
      <c r="A14" s="2" t="s">
        <v>178</v>
      </c>
      <c r="B14" s="17">
        <v>74</v>
      </c>
      <c r="C14" s="17">
        <v>19</v>
      </c>
      <c r="D14" s="17">
        <v>8</v>
      </c>
      <c r="E14" s="17">
        <v>27</v>
      </c>
      <c r="F14" s="17" t="s">
        <v>139</v>
      </c>
      <c r="G14" s="17">
        <v>2.4500000000000002</v>
      </c>
      <c r="H14" s="17">
        <v>47</v>
      </c>
      <c r="I14" s="17">
        <v>57.44</v>
      </c>
      <c r="J14" s="17">
        <v>0</v>
      </c>
      <c r="K14" s="17">
        <v>0</v>
      </c>
      <c r="L14" s="17">
        <v>5</v>
      </c>
      <c r="M14" s="17">
        <v>2</v>
      </c>
      <c r="N14" s="17">
        <v>1</v>
      </c>
      <c r="O14" s="17">
        <v>71</v>
      </c>
      <c r="P14" s="17">
        <v>1500</v>
      </c>
      <c r="Q14" s="17">
        <v>8</v>
      </c>
      <c r="R14" s="17">
        <v>1708</v>
      </c>
      <c r="S14" s="17">
        <v>82</v>
      </c>
      <c r="T14" s="17">
        <v>20.82</v>
      </c>
      <c r="U14" s="17">
        <v>6.87</v>
      </c>
      <c r="V14" s="17">
        <v>18.100000000000001</v>
      </c>
      <c r="W14" s="17">
        <v>0</v>
      </c>
      <c r="X14" s="17">
        <v>0</v>
      </c>
      <c r="Y14" s="17">
        <v>11</v>
      </c>
      <c r="Z14" s="17">
        <v>11</v>
      </c>
      <c r="AA14" s="17">
        <v>0</v>
      </c>
      <c r="AB14" s="17">
        <v>0</v>
      </c>
      <c r="AC14" s="17">
        <v>11</v>
      </c>
      <c r="AD14" s="17">
        <v>0.152</v>
      </c>
      <c r="AG14" s="1"/>
    </row>
    <row r="15" spans="1:33" ht="15.05" x14ac:dyDescent="0.25">
      <c r="A15" s="10" t="s">
        <v>79</v>
      </c>
      <c r="B15" s="11">
        <v>75</v>
      </c>
      <c r="C15" s="11">
        <v>72</v>
      </c>
      <c r="D15" s="11">
        <v>5</v>
      </c>
      <c r="E15" s="11">
        <v>1714</v>
      </c>
      <c r="F15" s="11" t="s">
        <v>99</v>
      </c>
      <c r="G15" s="11">
        <v>25.58</v>
      </c>
      <c r="H15" s="11">
        <v>1242</v>
      </c>
      <c r="I15" s="11">
        <v>138</v>
      </c>
      <c r="J15" s="11">
        <v>0</v>
      </c>
      <c r="K15" s="11">
        <v>12</v>
      </c>
      <c r="L15" s="11">
        <v>7</v>
      </c>
      <c r="M15" s="11">
        <v>177</v>
      </c>
      <c r="N15" s="11">
        <v>90</v>
      </c>
      <c r="O15" s="12" t="s">
        <v>189</v>
      </c>
      <c r="P15" s="12" t="s">
        <v>189</v>
      </c>
      <c r="Q15" s="2"/>
      <c r="R15" s="12" t="s">
        <v>189</v>
      </c>
      <c r="S15" s="12" t="s">
        <v>189</v>
      </c>
      <c r="T15" s="12" t="s">
        <v>189</v>
      </c>
      <c r="U15" s="12" t="s">
        <v>189</v>
      </c>
      <c r="V15" s="12" t="s">
        <v>189</v>
      </c>
      <c r="W15" s="12" t="s">
        <v>189</v>
      </c>
      <c r="X15" s="12" t="s">
        <v>189</v>
      </c>
      <c r="Y15" s="11">
        <v>27</v>
      </c>
      <c r="Z15" s="11">
        <v>27</v>
      </c>
      <c r="AA15" s="11">
        <v>0</v>
      </c>
      <c r="AB15" s="11">
        <v>0</v>
      </c>
      <c r="AC15" s="11">
        <v>27</v>
      </c>
      <c r="AD15" s="11">
        <v>0.36899999999999999</v>
      </c>
      <c r="AG15" s="1"/>
    </row>
    <row r="16" spans="1:33" ht="15.05" x14ac:dyDescent="0.25">
      <c r="A16" s="2" t="s">
        <v>158</v>
      </c>
      <c r="B16" s="17">
        <v>82</v>
      </c>
      <c r="C16" s="17">
        <v>80</v>
      </c>
      <c r="D16" s="17">
        <v>7</v>
      </c>
      <c r="E16" s="17">
        <v>1586</v>
      </c>
      <c r="F16" s="17">
        <v>74</v>
      </c>
      <c r="G16" s="17">
        <v>21.72</v>
      </c>
      <c r="H16" s="17">
        <v>1226</v>
      </c>
      <c r="I16" s="17">
        <v>129.36000000000001</v>
      </c>
      <c r="J16" s="17">
        <v>0</v>
      </c>
      <c r="K16" s="17">
        <v>8</v>
      </c>
      <c r="L16" s="17">
        <v>6</v>
      </c>
      <c r="M16" s="17">
        <v>109</v>
      </c>
      <c r="N16" s="17">
        <v>81</v>
      </c>
      <c r="O16" s="17">
        <v>22</v>
      </c>
      <c r="P16" s="16">
        <v>230</v>
      </c>
      <c r="Q16" s="16">
        <v>0</v>
      </c>
      <c r="R16" s="16">
        <v>308</v>
      </c>
      <c r="S16" s="16">
        <v>10</v>
      </c>
      <c r="T16" s="16">
        <v>30.8</v>
      </c>
      <c r="U16" s="16">
        <v>8</v>
      </c>
      <c r="V16" s="16">
        <v>23.1</v>
      </c>
      <c r="W16" s="16">
        <v>0</v>
      </c>
      <c r="X16" s="16">
        <v>0</v>
      </c>
      <c r="Y16" s="17">
        <v>23</v>
      </c>
      <c r="Z16" s="17">
        <v>23</v>
      </c>
      <c r="AA16" s="17">
        <v>0</v>
      </c>
      <c r="AB16" s="17">
        <v>0</v>
      </c>
      <c r="AC16" s="17">
        <v>23</v>
      </c>
      <c r="AD16" s="17">
        <v>0.28299999999999997</v>
      </c>
      <c r="AG16" s="1"/>
    </row>
    <row r="17" spans="1:33" ht="15.05" x14ac:dyDescent="0.25">
      <c r="A17" s="2" t="s">
        <v>163</v>
      </c>
      <c r="B17" s="17">
        <v>8</v>
      </c>
      <c r="C17" s="17">
        <v>2</v>
      </c>
      <c r="D17" s="17">
        <v>1</v>
      </c>
      <c r="E17" s="17">
        <v>4</v>
      </c>
      <c r="F17" s="17">
        <v>4</v>
      </c>
      <c r="G17" s="17">
        <v>4</v>
      </c>
      <c r="H17" s="17">
        <v>6</v>
      </c>
      <c r="I17" s="17">
        <v>66.66</v>
      </c>
      <c r="J17" s="17">
        <v>0</v>
      </c>
      <c r="K17" s="17">
        <v>0</v>
      </c>
      <c r="L17" s="17">
        <v>0</v>
      </c>
      <c r="M17" s="17">
        <v>1</v>
      </c>
      <c r="N17" s="17">
        <v>0</v>
      </c>
      <c r="O17" s="17">
        <v>8</v>
      </c>
      <c r="P17" s="17">
        <f>31*6</f>
        <v>186</v>
      </c>
      <c r="Q17" s="17">
        <v>0</v>
      </c>
      <c r="R17" s="17">
        <v>257</v>
      </c>
      <c r="S17" s="17">
        <v>14</v>
      </c>
      <c r="T17" s="17">
        <v>18.350000000000001</v>
      </c>
      <c r="U17" s="17">
        <v>8.2899999999999991</v>
      </c>
      <c r="V17" s="17">
        <v>13.2</v>
      </c>
      <c r="W17" s="17">
        <v>1</v>
      </c>
      <c r="X17" s="17">
        <v>0</v>
      </c>
      <c r="Y17" s="17">
        <v>3</v>
      </c>
      <c r="Z17" s="17">
        <v>3</v>
      </c>
      <c r="AA17" s="17">
        <v>0</v>
      </c>
      <c r="AB17" s="17">
        <v>0</v>
      </c>
      <c r="AC17" s="17">
        <v>3</v>
      </c>
      <c r="AD17" s="17">
        <v>0.375</v>
      </c>
    </row>
    <row r="18" spans="1:33" ht="15.05" x14ac:dyDescent="0.25">
      <c r="A18" s="10" t="s">
        <v>66</v>
      </c>
      <c r="B18" s="11">
        <v>41</v>
      </c>
      <c r="C18" s="11">
        <v>37</v>
      </c>
      <c r="D18" s="11">
        <v>7</v>
      </c>
      <c r="E18" s="11">
        <v>395</v>
      </c>
      <c r="F18" s="11">
        <v>46</v>
      </c>
      <c r="G18" s="11">
        <v>13.16</v>
      </c>
      <c r="H18" s="11">
        <v>322</v>
      </c>
      <c r="I18" s="11">
        <v>122.67</v>
      </c>
      <c r="J18" s="11">
        <v>0</v>
      </c>
      <c r="K18" s="11">
        <v>0</v>
      </c>
      <c r="L18" s="11">
        <v>6</v>
      </c>
      <c r="M18" s="11">
        <v>34</v>
      </c>
      <c r="N18" s="11">
        <v>12</v>
      </c>
      <c r="O18" s="12" t="s">
        <v>189</v>
      </c>
      <c r="P18" s="12" t="s">
        <v>189</v>
      </c>
      <c r="Q18" s="18"/>
      <c r="R18" s="12" t="s">
        <v>189</v>
      </c>
      <c r="S18" s="12" t="s">
        <v>189</v>
      </c>
      <c r="T18" s="12" t="s">
        <v>189</v>
      </c>
      <c r="U18" s="12" t="s">
        <v>189</v>
      </c>
      <c r="V18" s="12" t="s">
        <v>189</v>
      </c>
      <c r="W18" s="12" t="s">
        <v>189</v>
      </c>
      <c r="X18" s="12" t="s">
        <v>189</v>
      </c>
      <c r="Y18" s="11">
        <v>19</v>
      </c>
      <c r="Z18" s="11">
        <v>18</v>
      </c>
      <c r="AA18" s="11">
        <v>1</v>
      </c>
      <c r="AB18" s="11">
        <v>8</v>
      </c>
      <c r="AC18" s="11">
        <v>10</v>
      </c>
      <c r="AD18" s="33">
        <f>Y18/B18</f>
        <v>0.46341463414634149</v>
      </c>
      <c r="AG18" s="1"/>
    </row>
    <row r="19" spans="1:33" ht="15.05" x14ac:dyDescent="0.25">
      <c r="A19" s="8" t="s">
        <v>48</v>
      </c>
      <c r="B19" s="5">
        <v>101</v>
      </c>
      <c r="C19" s="5">
        <v>76</v>
      </c>
      <c r="D19" s="5">
        <v>26</v>
      </c>
      <c r="E19" s="5">
        <v>963</v>
      </c>
      <c r="F19" s="5">
        <v>48</v>
      </c>
      <c r="G19" s="5">
        <v>19.260000000000002</v>
      </c>
      <c r="H19" s="5">
        <v>673</v>
      </c>
      <c r="I19" s="5">
        <v>143.09</v>
      </c>
      <c r="J19" s="5">
        <v>0</v>
      </c>
      <c r="K19" s="5">
        <v>0</v>
      </c>
      <c r="L19" s="5">
        <v>2</v>
      </c>
      <c r="M19" s="5">
        <v>67</v>
      </c>
      <c r="N19" s="5">
        <v>37</v>
      </c>
      <c r="O19" s="5">
        <v>100</v>
      </c>
      <c r="P19" s="5">
        <v>2156</v>
      </c>
      <c r="Q19" s="2"/>
      <c r="R19" s="5">
        <v>2563</v>
      </c>
      <c r="S19" s="5">
        <v>113</v>
      </c>
      <c r="T19" s="5">
        <v>22.68</v>
      </c>
      <c r="U19" s="5">
        <v>7.13</v>
      </c>
      <c r="V19" s="5">
        <v>19</v>
      </c>
      <c r="W19" s="5">
        <v>4</v>
      </c>
      <c r="X19" s="5">
        <v>0</v>
      </c>
      <c r="Y19" s="18"/>
      <c r="Z19" s="18"/>
      <c r="AA19" s="18"/>
      <c r="AB19" s="18"/>
      <c r="AC19" s="18"/>
      <c r="AD19" s="2"/>
      <c r="AG19" s="1"/>
    </row>
    <row r="20" spans="1:33" ht="15.05" x14ac:dyDescent="0.25">
      <c r="A20" s="10" t="s">
        <v>128</v>
      </c>
      <c r="B20" s="21">
        <v>155</v>
      </c>
      <c r="C20" s="21">
        <v>104</v>
      </c>
      <c r="D20" s="21">
        <v>48</v>
      </c>
      <c r="E20" s="21">
        <v>1168</v>
      </c>
      <c r="F20" s="21">
        <v>73</v>
      </c>
      <c r="G20" s="21">
        <v>20.85</v>
      </c>
      <c r="H20" s="21">
        <v>804</v>
      </c>
      <c r="I20" s="21">
        <v>145.27000000000001</v>
      </c>
      <c r="J20" s="21">
        <v>0</v>
      </c>
      <c r="K20" s="21">
        <v>3</v>
      </c>
      <c r="L20" s="21">
        <v>5</v>
      </c>
      <c r="M20" s="21">
        <v>80</v>
      </c>
      <c r="N20" s="21">
        <v>65</v>
      </c>
      <c r="O20" s="21">
        <v>151</v>
      </c>
      <c r="P20" s="21">
        <v>502</v>
      </c>
      <c r="Q20" s="18"/>
      <c r="R20" s="21">
        <v>4372</v>
      </c>
      <c r="S20" s="21">
        <v>167</v>
      </c>
      <c r="T20" s="21">
        <v>26.17</v>
      </c>
      <c r="U20" s="21">
        <v>8.6999999999999993</v>
      </c>
      <c r="V20" s="21">
        <v>18</v>
      </c>
      <c r="W20" s="21">
        <v>5</v>
      </c>
      <c r="X20" s="27">
        <v>0</v>
      </c>
      <c r="Y20" s="21">
        <v>73</v>
      </c>
      <c r="Z20" s="21">
        <v>73</v>
      </c>
      <c r="AA20" s="21">
        <v>0</v>
      </c>
      <c r="AB20" s="21">
        <v>0</v>
      </c>
      <c r="AC20" s="21">
        <v>73</v>
      </c>
      <c r="AD20" s="21">
        <v>0.47</v>
      </c>
      <c r="AG20" s="1"/>
    </row>
    <row r="21" spans="1:33" ht="15.05" x14ac:dyDescent="0.25">
      <c r="A21" s="2" t="s">
        <v>165</v>
      </c>
      <c r="B21" s="17">
        <v>27</v>
      </c>
      <c r="C21" s="17">
        <v>22</v>
      </c>
      <c r="D21" s="17">
        <v>7</v>
      </c>
      <c r="E21" s="17">
        <v>577</v>
      </c>
      <c r="F21" s="17">
        <v>66</v>
      </c>
      <c r="G21" s="17">
        <v>38.46</v>
      </c>
      <c r="H21" s="17">
        <v>422</v>
      </c>
      <c r="I21" s="17">
        <v>136.72</v>
      </c>
      <c r="J21" s="17">
        <v>0</v>
      </c>
      <c r="K21" s="17">
        <v>2</v>
      </c>
      <c r="L21" s="17">
        <v>2</v>
      </c>
      <c r="M21" s="17">
        <v>36</v>
      </c>
      <c r="N21" s="17">
        <v>28</v>
      </c>
      <c r="O21" s="17">
        <v>19</v>
      </c>
      <c r="P21" s="17">
        <f>42*6</f>
        <v>252</v>
      </c>
      <c r="Q21" s="17">
        <v>0</v>
      </c>
      <c r="R21" s="17">
        <v>314</v>
      </c>
      <c r="S21" s="17">
        <v>12</v>
      </c>
      <c r="T21" s="17">
        <v>26.16</v>
      </c>
      <c r="U21" s="17">
        <v>7.47</v>
      </c>
      <c r="V21" s="17">
        <v>21</v>
      </c>
      <c r="W21" s="17">
        <v>0</v>
      </c>
      <c r="X21" s="17">
        <v>0</v>
      </c>
      <c r="Y21" s="17">
        <v>9</v>
      </c>
      <c r="Z21" s="17">
        <v>9</v>
      </c>
      <c r="AA21" s="17">
        <v>0</v>
      </c>
      <c r="AB21" s="17">
        <v>0</v>
      </c>
      <c r="AC21" s="17">
        <v>9</v>
      </c>
      <c r="AD21" s="17">
        <v>0.34599999999999997</v>
      </c>
      <c r="AG21" s="1"/>
    </row>
    <row r="22" spans="1:33" ht="15.05" x14ac:dyDescent="0.25">
      <c r="A22" s="10" t="s">
        <v>65</v>
      </c>
      <c r="B22" s="11">
        <v>78</v>
      </c>
      <c r="C22" s="11">
        <v>74</v>
      </c>
      <c r="D22" s="11">
        <v>5</v>
      </c>
      <c r="E22" s="11">
        <v>1627</v>
      </c>
      <c r="F22" s="11" t="s">
        <v>91</v>
      </c>
      <c r="G22" s="11">
        <v>23.57</v>
      </c>
      <c r="H22" s="11">
        <v>1126</v>
      </c>
      <c r="I22" s="11">
        <v>144.49</v>
      </c>
      <c r="J22" s="11">
        <v>1</v>
      </c>
      <c r="K22" s="11">
        <v>9</v>
      </c>
      <c r="L22" s="11">
        <v>7</v>
      </c>
      <c r="M22" s="11">
        <v>152</v>
      </c>
      <c r="N22" s="11">
        <v>59</v>
      </c>
      <c r="O22" s="11">
        <v>40</v>
      </c>
      <c r="P22" s="35">
        <v>486</v>
      </c>
      <c r="Q22" s="2"/>
      <c r="R22" s="35">
        <v>680</v>
      </c>
      <c r="S22" s="35">
        <v>25</v>
      </c>
      <c r="T22" s="35">
        <v>27.2</v>
      </c>
      <c r="U22" s="35">
        <v>8.39</v>
      </c>
      <c r="V22" s="35">
        <v>19.399999999999999</v>
      </c>
      <c r="W22" s="35">
        <v>1</v>
      </c>
      <c r="X22" s="35">
        <v>0</v>
      </c>
      <c r="Y22" s="11">
        <v>31</v>
      </c>
      <c r="Z22" s="11">
        <v>31</v>
      </c>
      <c r="AA22" s="11">
        <v>0</v>
      </c>
      <c r="AB22" s="11">
        <v>1</v>
      </c>
      <c r="AC22" s="11">
        <v>30</v>
      </c>
      <c r="AD22" s="33">
        <f>Y22/B22</f>
        <v>0.39743589743589741</v>
      </c>
      <c r="AG22" s="1"/>
    </row>
    <row r="23" spans="1:33" ht="15.05" x14ac:dyDescent="0.25">
      <c r="A23" s="8" t="s">
        <v>32</v>
      </c>
      <c r="B23" s="5">
        <v>50</v>
      </c>
      <c r="C23" s="5">
        <v>14</v>
      </c>
      <c r="D23" s="5">
        <v>10</v>
      </c>
      <c r="E23" s="5">
        <v>19</v>
      </c>
      <c r="F23" s="5">
        <v>6</v>
      </c>
      <c r="G23" s="5">
        <v>4.75</v>
      </c>
      <c r="H23" s="5">
        <v>37</v>
      </c>
      <c r="I23" s="5">
        <v>51.35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50</v>
      </c>
      <c r="P23" s="5">
        <v>948</v>
      </c>
      <c r="Q23" s="18"/>
      <c r="R23" s="5">
        <v>1156</v>
      </c>
      <c r="S23" s="5">
        <v>50</v>
      </c>
      <c r="T23" s="5">
        <v>23.12</v>
      </c>
      <c r="U23" s="5">
        <v>7.31</v>
      </c>
      <c r="V23" s="5">
        <v>18.899999999999999</v>
      </c>
      <c r="W23" s="5">
        <v>0</v>
      </c>
      <c r="X23" s="5">
        <v>0</v>
      </c>
      <c r="Y23" s="5">
        <v>10</v>
      </c>
      <c r="Z23" s="5">
        <v>10</v>
      </c>
      <c r="AA23" s="5">
        <v>0</v>
      </c>
      <c r="AB23" s="5">
        <v>0</v>
      </c>
      <c r="AC23" s="5">
        <v>10</v>
      </c>
      <c r="AD23" s="30">
        <v>0.2</v>
      </c>
      <c r="AF23" s="1"/>
    </row>
    <row r="24" spans="1:33" ht="15.05" x14ac:dyDescent="0.25">
      <c r="A24" s="10" t="s">
        <v>108</v>
      </c>
      <c r="B24" s="21">
        <v>115</v>
      </c>
      <c r="C24" s="21">
        <v>107</v>
      </c>
      <c r="D24" s="21">
        <v>21</v>
      </c>
      <c r="E24" s="21">
        <v>2651</v>
      </c>
      <c r="F24" s="21" t="s">
        <v>136</v>
      </c>
      <c r="G24" s="21">
        <v>30.82</v>
      </c>
      <c r="H24" s="21">
        <v>1904</v>
      </c>
      <c r="I24" s="21">
        <v>139.22999999999999</v>
      </c>
      <c r="J24" s="21">
        <v>0</v>
      </c>
      <c r="K24" s="21">
        <v>16</v>
      </c>
      <c r="L24" s="21">
        <v>3</v>
      </c>
      <c r="M24" s="21">
        <v>182</v>
      </c>
      <c r="N24" s="21">
        <v>97</v>
      </c>
      <c r="O24" s="21">
        <v>37</v>
      </c>
      <c r="P24" s="21">
        <f>74.5*6</f>
        <v>447</v>
      </c>
      <c r="Q24" s="2"/>
      <c r="R24" s="21">
        <v>732</v>
      </c>
      <c r="S24" s="21">
        <v>24</v>
      </c>
      <c r="T24" s="21">
        <v>30.5</v>
      </c>
      <c r="U24" s="21">
        <v>9.82</v>
      </c>
      <c r="V24" s="21">
        <v>18.600000000000001</v>
      </c>
      <c r="W24" s="21">
        <v>0</v>
      </c>
      <c r="X24" s="21">
        <v>0</v>
      </c>
      <c r="Y24" s="19">
        <v>63</v>
      </c>
      <c r="Z24" s="19">
        <v>63</v>
      </c>
      <c r="AA24" s="19">
        <v>0</v>
      </c>
      <c r="AB24" s="19">
        <v>0</v>
      </c>
      <c r="AC24" s="19">
        <v>63</v>
      </c>
      <c r="AD24" s="19">
        <v>0.56200000000000006</v>
      </c>
    </row>
    <row r="25" spans="1:33" ht="15.05" x14ac:dyDescent="0.25">
      <c r="A25" s="2" t="s">
        <v>175</v>
      </c>
      <c r="B25" s="17">
        <v>102</v>
      </c>
      <c r="C25" s="17">
        <v>91</v>
      </c>
      <c r="D25" s="17">
        <v>23</v>
      </c>
      <c r="E25" s="17">
        <v>1464</v>
      </c>
      <c r="F25" s="17" t="s">
        <v>176</v>
      </c>
      <c r="G25" s="17">
        <v>21.52</v>
      </c>
      <c r="H25" s="17">
        <v>1020</v>
      </c>
      <c r="I25" s="17">
        <v>143.52000000000001</v>
      </c>
      <c r="J25" s="17">
        <v>0</v>
      </c>
      <c r="K25" s="17">
        <v>4</v>
      </c>
      <c r="L25" s="17">
        <v>11</v>
      </c>
      <c r="M25" s="17">
        <v>115</v>
      </c>
      <c r="N25" s="17">
        <v>79</v>
      </c>
      <c r="O25" s="17">
        <v>59</v>
      </c>
      <c r="P25" s="17">
        <f>120*6</f>
        <v>720</v>
      </c>
      <c r="Q25" s="17">
        <v>1</v>
      </c>
      <c r="R25" s="17">
        <v>1058</v>
      </c>
      <c r="S25" s="17">
        <v>53</v>
      </c>
      <c r="T25" s="17">
        <v>19.96</v>
      </c>
      <c r="U25" s="17">
        <v>8.85</v>
      </c>
      <c r="V25" s="17">
        <v>13.5</v>
      </c>
      <c r="W25" s="17">
        <v>1</v>
      </c>
      <c r="X25" s="17">
        <v>0</v>
      </c>
      <c r="Y25" s="17">
        <v>43</v>
      </c>
      <c r="Z25" s="17">
        <v>43</v>
      </c>
      <c r="AA25" s="17">
        <v>0</v>
      </c>
      <c r="AB25" s="17">
        <v>0</v>
      </c>
      <c r="AC25" s="17">
        <v>43</v>
      </c>
      <c r="AD25" s="17">
        <v>0.43</v>
      </c>
      <c r="AG25" s="1"/>
    </row>
    <row r="26" spans="1:33" ht="15.05" x14ac:dyDescent="0.25">
      <c r="A26" s="10" t="s">
        <v>67</v>
      </c>
      <c r="B26" s="35">
        <v>92</v>
      </c>
      <c r="C26" s="35">
        <v>39</v>
      </c>
      <c r="D26" s="35">
        <v>15</v>
      </c>
      <c r="E26" s="35">
        <v>214</v>
      </c>
      <c r="F26" s="35">
        <v>28</v>
      </c>
      <c r="G26" s="35">
        <v>8.91</v>
      </c>
      <c r="H26" s="35">
        <v>172</v>
      </c>
      <c r="I26" s="35">
        <v>124.41</v>
      </c>
      <c r="J26" s="35">
        <v>0</v>
      </c>
      <c r="K26" s="35">
        <v>0</v>
      </c>
      <c r="L26" s="35">
        <v>6</v>
      </c>
      <c r="M26" s="35">
        <v>8</v>
      </c>
      <c r="N26" s="35">
        <v>13</v>
      </c>
      <c r="O26" s="35">
        <v>90</v>
      </c>
      <c r="P26" s="35">
        <v>1940</v>
      </c>
      <c r="Q26" s="2"/>
      <c r="R26" s="35">
        <v>2426</v>
      </c>
      <c r="S26" s="35">
        <v>121</v>
      </c>
      <c r="T26" s="35">
        <v>20.04</v>
      </c>
      <c r="U26" s="35">
        <v>7.5</v>
      </c>
      <c r="V26" s="35">
        <v>16</v>
      </c>
      <c r="W26" s="35">
        <v>3</v>
      </c>
      <c r="X26" s="35">
        <v>0</v>
      </c>
      <c r="Y26" s="35">
        <v>26</v>
      </c>
      <c r="Z26" s="35">
        <v>26</v>
      </c>
      <c r="AA26" s="35">
        <v>0</v>
      </c>
      <c r="AB26" s="35">
        <v>0</v>
      </c>
      <c r="AC26" s="35">
        <v>26</v>
      </c>
      <c r="AD26" s="32">
        <f>Y26/B26</f>
        <v>0.28260869565217389</v>
      </c>
    </row>
    <row r="27" spans="1:33" ht="15.05" x14ac:dyDescent="0.25">
      <c r="A27" s="10" t="s">
        <v>105</v>
      </c>
      <c r="B27" s="21">
        <v>96</v>
      </c>
      <c r="C27" s="21">
        <v>96</v>
      </c>
      <c r="D27" s="21">
        <v>7</v>
      </c>
      <c r="E27" s="21">
        <v>2725</v>
      </c>
      <c r="F27" s="21" t="s">
        <v>92</v>
      </c>
      <c r="G27" s="21">
        <v>30.61</v>
      </c>
      <c r="H27" s="21">
        <v>2002</v>
      </c>
      <c r="I27" s="21">
        <v>136.11000000000001</v>
      </c>
      <c r="J27" s="21">
        <v>0</v>
      </c>
      <c r="K27" s="21">
        <v>22</v>
      </c>
      <c r="L27" s="21">
        <v>7</v>
      </c>
      <c r="M27" s="21">
        <v>319</v>
      </c>
      <c r="N27" s="21">
        <v>73</v>
      </c>
      <c r="O27" s="21">
        <v>0</v>
      </c>
      <c r="P27" s="21">
        <v>0</v>
      </c>
      <c r="Q27" s="2"/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44</v>
      </c>
      <c r="Z27" s="21">
        <v>44</v>
      </c>
      <c r="AA27" s="21">
        <v>0</v>
      </c>
      <c r="AB27" s="21">
        <v>0</v>
      </c>
      <c r="AC27" s="21">
        <v>44</v>
      </c>
      <c r="AD27" s="21">
        <v>0.46300000000000002</v>
      </c>
    </row>
    <row r="28" spans="1:33" ht="15.05" x14ac:dyDescent="0.25">
      <c r="A28" s="10" t="s">
        <v>71</v>
      </c>
      <c r="B28" s="11">
        <v>80</v>
      </c>
      <c r="C28" s="11">
        <v>75</v>
      </c>
      <c r="D28" s="11">
        <v>9</v>
      </c>
      <c r="E28" s="11">
        <v>2025</v>
      </c>
      <c r="F28" s="11">
        <v>162</v>
      </c>
      <c r="G28" s="11">
        <v>30.68</v>
      </c>
      <c r="H28" s="11">
        <v>1263</v>
      </c>
      <c r="I28" s="11">
        <v>160.33000000000001</v>
      </c>
      <c r="J28" s="11">
        <v>2</v>
      </c>
      <c r="K28" s="11">
        <v>11</v>
      </c>
      <c r="L28" s="11">
        <v>7</v>
      </c>
      <c r="M28" s="11">
        <v>127</v>
      </c>
      <c r="N28" s="11">
        <v>153</v>
      </c>
      <c r="O28" s="11">
        <v>16</v>
      </c>
      <c r="P28" s="11">
        <v>31</v>
      </c>
      <c r="Q28" s="2"/>
      <c r="R28" s="11">
        <v>233</v>
      </c>
      <c r="S28" s="11">
        <v>12</v>
      </c>
      <c r="T28" s="11">
        <v>19.41</v>
      </c>
      <c r="U28" s="11">
        <v>7.51</v>
      </c>
      <c r="V28" s="11">
        <v>15.5</v>
      </c>
      <c r="W28" s="11">
        <v>0</v>
      </c>
      <c r="X28" s="11">
        <v>0</v>
      </c>
      <c r="Y28" s="11">
        <v>44</v>
      </c>
      <c r="Z28" s="11">
        <v>44</v>
      </c>
      <c r="AA28" s="11">
        <v>0</v>
      </c>
      <c r="AB28" s="11">
        <v>0</v>
      </c>
      <c r="AC28" s="11">
        <v>44</v>
      </c>
      <c r="AD28" s="32">
        <f>Y28/B28</f>
        <v>0.55000000000000004</v>
      </c>
      <c r="AF28" s="7"/>
    </row>
    <row r="29" spans="1:33" ht="15.05" x14ac:dyDescent="0.25">
      <c r="A29" s="2" t="s">
        <v>190</v>
      </c>
      <c r="B29" s="16">
        <v>45</v>
      </c>
      <c r="C29" s="16">
        <v>14</v>
      </c>
      <c r="D29" s="16">
        <v>6</v>
      </c>
      <c r="E29" s="16">
        <v>25</v>
      </c>
      <c r="F29" s="16">
        <v>12</v>
      </c>
      <c r="G29" s="16">
        <v>3.12</v>
      </c>
      <c r="H29" s="16">
        <v>50</v>
      </c>
      <c r="I29" s="16">
        <v>50</v>
      </c>
      <c r="J29" s="16">
        <v>0</v>
      </c>
      <c r="K29" s="16">
        <v>0</v>
      </c>
      <c r="L29" s="16">
        <v>4</v>
      </c>
      <c r="M29" s="16">
        <v>1</v>
      </c>
      <c r="N29" s="16">
        <v>1</v>
      </c>
      <c r="O29" s="16">
        <v>45</v>
      </c>
      <c r="P29" s="16">
        <v>890</v>
      </c>
      <c r="Q29" s="16">
        <v>0</v>
      </c>
      <c r="R29" s="16">
        <v>1401</v>
      </c>
      <c r="S29" s="16">
        <v>39</v>
      </c>
      <c r="T29" s="16">
        <v>35.92</v>
      </c>
      <c r="U29" s="16">
        <v>9.42</v>
      </c>
      <c r="V29" s="16">
        <v>22.8</v>
      </c>
      <c r="W29" s="16">
        <v>0</v>
      </c>
      <c r="X29" s="16">
        <v>0</v>
      </c>
      <c r="Y29" s="16">
        <v>8</v>
      </c>
      <c r="Z29" s="16">
        <v>8</v>
      </c>
      <c r="AA29" s="16">
        <v>0</v>
      </c>
      <c r="AB29" s="16">
        <v>0</v>
      </c>
      <c r="AC29" s="16">
        <v>8</v>
      </c>
      <c r="AD29" s="16">
        <v>0.17699999999999999</v>
      </c>
    </row>
    <row r="30" spans="1:33" ht="15.05" x14ac:dyDescent="0.25">
      <c r="A30" s="2" t="s">
        <v>161</v>
      </c>
      <c r="B30" s="17">
        <v>71</v>
      </c>
      <c r="C30" s="17">
        <v>44</v>
      </c>
      <c r="D30" s="17">
        <v>12</v>
      </c>
      <c r="E30" s="17">
        <v>564</v>
      </c>
      <c r="F30" s="17">
        <v>45</v>
      </c>
      <c r="G30" s="17">
        <v>17.62</v>
      </c>
      <c r="H30" s="17">
        <v>538</v>
      </c>
      <c r="I30" s="17">
        <v>104.83</v>
      </c>
      <c r="J30" s="17">
        <v>0</v>
      </c>
      <c r="K30" s="17">
        <v>0</v>
      </c>
      <c r="L30" s="17">
        <v>1</v>
      </c>
      <c r="M30" s="17">
        <v>55</v>
      </c>
      <c r="N30" s="17">
        <v>11</v>
      </c>
      <c r="O30" s="17">
        <v>64</v>
      </c>
      <c r="P30" s="17">
        <f>210.4*6</f>
        <v>1262.4000000000001</v>
      </c>
      <c r="Q30" s="16">
        <v>1</v>
      </c>
      <c r="R30" s="17">
        <v>1492</v>
      </c>
      <c r="S30" s="17">
        <v>66</v>
      </c>
      <c r="T30" s="17">
        <v>22.6</v>
      </c>
      <c r="U30" s="17">
        <v>7.08</v>
      </c>
      <c r="V30" s="17">
        <v>19.100000000000001</v>
      </c>
      <c r="W30" s="17">
        <v>2</v>
      </c>
      <c r="X30" s="17">
        <v>0</v>
      </c>
      <c r="Y30" s="17">
        <v>29</v>
      </c>
      <c r="Z30" s="17">
        <v>29</v>
      </c>
      <c r="AA30" s="17">
        <v>0</v>
      </c>
      <c r="AB30" s="17">
        <v>0</v>
      </c>
      <c r="AC30" s="17">
        <v>29</v>
      </c>
      <c r="AD30" s="16">
        <v>0.42599999999999999</v>
      </c>
    </row>
    <row r="31" spans="1:33" ht="15.05" x14ac:dyDescent="0.25">
      <c r="A31" s="2" t="s">
        <v>166</v>
      </c>
      <c r="B31" s="17">
        <v>32</v>
      </c>
      <c r="C31" s="17">
        <v>21</v>
      </c>
      <c r="D31" s="17">
        <v>4</v>
      </c>
      <c r="E31" s="17">
        <v>241</v>
      </c>
      <c r="F31" s="17">
        <v>34</v>
      </c>
      <c r="G31" s="17">
        <v>14.17</v>
      </c>
      <c r="H31" s="17">
        <v>196</v>
      </c>
      <c r="I31" s="17">
        <v>122.95</v>
      </c>
      <c r="J31" s="17">
        <v>0</v>
      </c>
      <c r="K31" s="17">
        <v>0</v>
      </c>
      <c r="L31" s="17">
        <v>1</v>
      </c>
      <c r="M31" s="17">
        <v>10</v>
      </c>
      <c r="N31" s="17">
        <v>14</v>
      </c>
      <c r="O31" s="17">
        <v>29</v>
      </c>
      <c r="P31" s="17">
        <v>590</v>
      </c>
      <c r="Q31" s="16">
        <v>1</v>
      </c>
      <c r="R31" s="17">
        <v>616</v>
      </c>
      <c r="S31" s="17">
        <v>48</v>
      </c>
      <c r="T31" s="17">
        <v>12.83</v>
      </c>
      <c r="U31" s="17">
        <v>6.24</v>
      </c>
      <c r="V31" s="17">
        <v>12.3</v>
      </c>
      <c r="W31" s="17">
        <v>2</v>
      </c>
      <c r="X31" s="17">
        <v>1</v>
      </c>
      <c r="Y31" s="17">
        <v>12</v>
      </c>
      <c r="Z31" s="17">
        <v>12</v>
      </c>
      <c r="AA31" s="17">
        <v>0</v>
      </c>
      <c r="AB31" s="17">
        <v>0</v>
      </c>
      <c r="AC31" s="17">
        <v>12</v>
      </c>
      <c r="AD31" s="17">
        <v>0.4</v>
      </c>
    </row>
    <row r="32" spans="1:33" ht="15.05" x14ac:dyDescent="0.25">
      <c r="A32" s="2" t="s">
        <v>174</v>
      </c>
      <c r="B32" s="17">
        <v>95</v>
      </c>
      <c r="C32" s="17">
        <v>66</v>
      </c>
      <c r="D32" s="17">
        <v>22</v>
      </c>
      <c r="E32" s="17">
        <v>715</v>
      </c>
      <c r="F32" s="17">
        <v>48</v>
      </c>
      <c r="G32" s="17">
        <v>16.25</v>
      </c>
      <c r="H32" s="17">
        <v>545</v>
      </c>
      <c r="I32" s="17">
        <v>131.19</v>
      </c>
      <c r="J32" s="17">
        <v>0</v>
      </c>
      <c r="K32" s="17">
        <v>0</v>
      </c>
      <c r="L32" s="17">
        <v>7</v>
      </c>
      <c r="M32" s="17">
        <v>54</v>
      </c>
      <c r="N32" s="17">
        <v>36</v>
      </c>
      <c r="O32" s="17">
        <v>88</v>
      </c>
      <c r="P32" s="17">
        <v>1792</v>
      </c>
      <c r="Q32" s="2"/>
      <c r="R32" s="17">
        <v>2566</v>
      </c>
      <c r="S32" s="17">
        <v>111</v>
      </c>
      <c r="T32" s="17">
        <v>23.11</v>
      </c>
      <c r="U32" s="17">
        <v>8.59</v>
      </c>
      <c r="V32" s="17">
        <v>16.100000000000001</v>
      </c>
      <c r="W32" s="17">
        <v>3</v>
      </c>
      <c r="X32" s="17">
        <v>0</v>
      </c>
      <c r="Y32" s="17">
        <v>25</v>
      </c>
      <c r="Z32" s="17">
        <v>25</v>
      </c>
      <c r="AA32" s="17">
        <v>0</v>
      </c>
      <c r="AB32" s="17">
        <v>0</v>
      </c>
      <c r="AC32" s="17">
        <v>25</v>
      </c>
      <c r="AD32" s="17">
        <v>0.26800000000000002</v>
      </c>
    </row>
    <row r="33" spans="1:32" ht="15.05" x14ac:dyDescent="0.25">
      <c r="A33" s="10" t="s">
        <v>119</v>
      </c>
      <c r="B33" s="21">
        <v>66</v>
      </c>
      <c r="C33" s="21">
        <v>63</v>
      </c>
      <c r="D33" s="21">
        <v>6</v>
      </c>
      <c r="E33" s="21">
        <v>1247</v>
      </c>
      <c r="F33" s="21" t="s">
        <v>142</v>
      </c>
      <c r="G33" s="21">
        <v>21.87</v>
      </c>
      <c r="H33" s="21">
        <v>910</v>
      </c>
      <c r="I33" s="21">
        <v>137.03</v>
      </c>
      <c r="J33" s="21">
        <v>1</v>
      </c>
      <c r="K33" s="21">
        <v>5</v>
      </c>
      <c r="L33" s="21">
        <v>4</v>
      </c>
      <c r="M33" s="21">
        <v>106</v>
      </c>
      <c r="N33" s="21">
        <v>85</v>
      </c>
      <c r="O33" s="21">
        <v>0</v>
      </c>
      <c r="P33" s="21">
        <v>0</v>
      </c>
      <c r="Q33" s="19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8">
        <v>0</v>
      </c>
      <c r="Y33" s="21">
        <v>21</v>
      </c>
      <c r="Z33" s="21">
        <v>21</v>
      </c>
      <c r="AA33" s="21">
        <v>0</v>
      </c>
      <c r="AB33" s="21">
        <v>0</v>
      </c>
      <c r="AC33" s="21">
        <v>21</v>
      </c>
      <c r="AD33" s="21">
        <v>0.32800000000000001</v>
      </c>
      <c r="AF33" s="7"/>
    </row>
    <row r="34" spans="1:32" ht="15.05" x14ac:dyDescent="0.25">
      <c r="A34" s="10" t="s">
        <v>111</v>
      </c>
      <c r="B34" s="21">
        <v>110</v>
      </c>
      <c r="C34" s="21">
        <v>108</v>
      </c>
      <c r="D34" s="21">
        <v>3</v>
      </c>
      <c r="E34" s="21">
        <v>2878</v>
      </c>
      <c r="F34" s="21">
        <v>151</v>
      </c>
      <c r="G34" s="21">
        <v>27.4</v>
      </c>
      <c r="H34" s="21">
        <v>1665</v>
      </c>
      <c r="I34" s="21">
        <v>172.85</v>
      </c>
      <c r="J34" s="21">
        <v>4</v>
      </c>
      <c r="K34" s="21">
        <v>15</v>
      </c>
      <c r="L34" s="21">
        <v>9</v>
      </c>
      <c r="M34" s="21">
        <v>242</v>
      </c>
      <c r="N34" s="21">
        <v>206</v>
      </c>
      <c r="O34" s="21">
        <v>0</v>
      </c>
      <c r="P34" s="21">
        <v>0</v>
      </c>
      <c r="Q34" s="2"/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55</v>
      </c>
      <c r="Z34" s="21">
        <v>54</v>
      </c>
      <c r="AA34" s="21">
        <v>1</v>
      </c>
      <c r="AB34" s="21">
        <v>7</v>
      </c>
      <c r="AC34" s="21">
        <v>47</v>
      </c>
      <c r="AD34" s="19">
        <v>0.50900000000000001</v>
      </c>
    </row>
    <row r="35" spans="1:32" ht="15.05" x14ac:dyDescent="0.25">
      <c r="A35" s="2" t="s">
        <v>159</v>
      </c>
      <c r="B35" s="17">
        <v>74</v>
      </c>
      <c r="C35" s="17">
        <v>32</v>
      </c>
      <c r="D35" s="17">
        <v>13</v>
      </c>
      <c r="E35" s="17">
        <v>266</v>
      </c>
      <c r="F35" s="17" t="s">
        <v>160</v>
      </c>
      <c r="G35" s="17">
        <v>14</v>
      </c>
      <c r="H35" s="17">
        <v>216</v>
      </c>
      <c r="I35" s="17">
        <v>123.14</v>
      </c>
      <c r="J35" s="17">
        <v>0</v>
      </c>
      <c r="K35" s="17">
        <v>0</v>
      </c>
      <c r="L35" s="17">
        <v>3</v>
      </c>
      <c r="M35" s="17">
        <v>15</v>
      </c>
      <c r="N35" s="17">
        <v>18</v>
      </c>
      <c r="O35" s="17">
        <v>71</v>
      </c>
      <c r="P35" s="17">
        <f>239.3*6</f>
        <v>1435.8000000000002</v>
      </c>
      <c r="Q35" s="16">
        <v>3</v>
      </c>
      <c r="R35" s="17">
        <v>1807</v>
      </c>
      <c r="S35" s="17">
        <v>78</v>
      </c>
      <c r="T35" s="17">
        <v>23.16</v>
      </c>
      <c r="U35" s="17">
        <v>7.54</v>
      </c>
      <c r="V35" s="17">
        <v>18.399999999999999</v>
      </c>
      <c r="W35" s="17">
        <v>1</v>
      </c>
      <c r="X35" s="17">
        <v>0</v>
      </c>
      <c r="Y35" s="17">
        <v>20</v>
      </c>
      <c r="Z35" s="17">
        <v>20</v>
      </c>
      <c r="AA35" s="17">
        <v>0</v>
      </c>
      <c r="AB35" s="17">
        <v>0</v>
      </c>
      <c r="AC35" s="17">
        <v>20</v>
      </c>
      <c r="AD35" s="17">
        <v>0.27700000000000002</v>
      </c>
    </row>
    <row r="36" spans="1:32" ht="15.05" x14ac:dyDescent="0.25">
      <c r="A36" s="10" t="s">
        <v>120</v>
      </c>
      <c r="B36" s="21">
        <v>41</v>
      </c>
      <c r="C36" s="21">
        <v>18</v>
      </c>
      <c r="D36" s="21">
        <v>11</v>
      </c>
      <c r="E36" s="21">
        <v>59</v>
      </c>
      <c r="F36" s="21" t="s">
        <v>143</v>
      </c>
      <c r="G36" s="21">
        <v>8.42</v>
      </c>
      <c r="H36" s="21">
        <v>70</v>
      </c>
      <c r="I36" s="21">
        <v>84.28</v>
      </c>
      <c r="J36" s="21">
        <v>0</v>
      </c>
      <c r="K36" s="21">
        <v>0</v>
      </c>
      <c r="L36" s="21">
        <v>1</v>
      </c>
      <c r="M36" s="21">
        <v>3</v>
      </c>
      <c r="N36" s="19">
        <v>1</v>
      </c>
      <c r="O36" s="21">
        <v>40</v>
      </c>
      <c r="P36" s="21">
        <v>126.5</v>
      </c>
      <c r="Q36" s="2"/>
      <c r="R36" s="21">
        <v>1151</v>
      </c>
      <c r="S36" s="21">
        <v>50</v>
      </c>
      <c r="T36" s="21">
        <v>23.02</v>
      </c>
      <c r="U36" s="21">
        <v>9.09</v>
      </c>
      <c r="V36" s="21">
        <v>15.1</v>
      </c>
      <c r="W36" s="21">
        <v>1</v>
      </c>
      <c r="X36" s="27">
        <v>0</v>
      </c>
      <c r="Y36" s="21">
        <v>11</v>
      </c>
      <c r="Z36" s="21">
        <v>11</v>
      </c>
      <c r="AA36" s="21">
        <v>0</v>
      </c>
      <c r="AB36" s="21">
        <v>0</v>
      </c>
      <c r="AC36" s="21">
        <v>11</v>
      </c>
      <c r="AD36" s="21">
        <v>0.26800000000000002</v>
      </c>
    </row>
    <row r="37" spans="1:32" ht="15.05" x14ac:dyDescent="0.25">
      <c r="A37" s="10" t="s">
        <v>90</v>
      </c>
      <c r="B37" s="11">
        <v>65</v>
      </c>
      <c r="C37" s="11">
        <v>59</v>
      </c>
      <c r="D37" s="11">
        <v>12</v>
      </c>
      <c r="E37" s="11">
        <v>1273</v>
      </c>
      <c r="F37" s="11" t="s">
        <v>104</v>
      </c>
      <c r="G37" s="11">
        <v>27.08</v>
      </c>
      <c r="H37" s="11">
        <v>1078</v>
      </c>
      <c r="I37" s="11">
        <v>118.08</v>
      </c>
      <c r="J37" s="11">
        <v>0</v>
      </c>
      <c r="K37" s="11">
        <v>5</v>
      </c>
      <c r="L37" s="11">
        <v>5</v>
      </c>
      <c r="M37" s="11">
        <v>107</v>
      </c>
      <c r="N37" s="11">
        <v>36</v>
      </c>
      <c r="O37" s="11">
        <v>29</v>
      </c>
      <c r="P37" s="11">
        <f>67*6</f>
        <v>402</v>
      </c>
      <c r="Q37" s="2"/>
      <c r="R37" s="11">
        <v>451</v>
      </c>
      <c r="S37" s="11">
        <v>21</v>
      </c>
      <c r="T37" s="11">
        <v>21.47</v>
      </c>
      <c r="U37" s="11">
        <v>6.73</v>
      </c>
      <c r="V37" s="11">
        <v>19.100000000000001</v>
      </c>
      <c r="W37" s="11">
        <v>0</v>
      </c>
      <c r="X37" s="11">
        <v>0</v>
      </c>
      <c r="Y37" s="11">
        <v>48</v>
      </c>
      <c r="Z37" s="11">
        <v>48</v>
      </c>
      <c r="AA37" s="11">
        <v>0</v>
      </c>
      <c r="AB37" s="11">
        <v>0</v>
      </c>
      <c r="AC37" s="11">
        <v>48</v>
      </c>
      <c r="AD37" s="35">
        <v>0.73799999999999999</v>
      </c>
    </row>
    <row r="38" spans="1:32" ht="15.05" x14ac:dyDescent="0.25">
      <c r="A38" s="2" t="s">
        <v>184</v>
      </c>
      <c r="B38" s="16">
        <v>61</v>
      </c>
      <c r="C38" s="16">
        <v>19</v>
      </c>
      <c r="D38" s="16">
        <v>15</v>
      </c>
      <c r="E38" s="16">
        <v>38</v>
      </c>
      <c r="F38" s="16" t="s">
        <v>185</v>
      </c>
      <c r="G38" s="16">
        <v>9.5</v>
      </c>
      <c r="H38" s="16">
        <v>49</v>
      </c>
      <c r="I38" s="16">
        <v>77.55</v>
      </c>
      <c r="J38" s="16">
        <v>0</v>
      </c>
      <c r="K38" s="16">
        <v>0</v>
      </c>
      <c r="L38" s="16">
        <v>2</v>
      </c>
      <c r="M38" s="16">
        <v>4</v>
      </c>
      <c r="N38" s="16">
        <v>0</v>
      </c>
      <c r="O38" s="16">
        <v>61</v>
      </c>
      <c r="P38" s="16">
        <f>213.5*6</f>
        <v>1281</v>
      </c>
      <c r="Q38" s="16">
        <v>3</v>
      </c>
      <c r="R38" s="16">
        <v>1662</v>
      </c>
      <c r="S38" s="16">
        <v>66</v>
      </c>
      <c r="T38" s="16">
        <v>25.18</v>
      </c>
      <c r="U38" s="16">
        <v>7.77</v>
      </c>
      <c r="V38" s="16">
        <v>19.399999999999999</v>
      </c>
      <c r="W38" s="16">
        <v>0</v>
      </c>
      <c r="X38" s="16">
        <v>0</v>
      </c>
      <c r="Y38" s="16">
        <v>21</v>
      </c>
      <c r="Z38" s="16">
        <v>21</v>
      </c>
      <c r="AA38" s="16">
        <v>0</v>
      </c>
      <c r="AB38" s="16">
        <v>0</v>
      </c>
      <c r="AC38" s="16">
        <v>21</v>
      </c>
      <c r="AD38" s="16">
        <v>0.34399999999999997</v>
      </c>
    </row>
    <row r="39" spans="1:32" ht="15.05" x14ac:dyDescent="0.25">
      <c r="A39" s="2" t="s">
        <v>188</v>
      </c>
      <c r="B39" s="17">
        <v>43</v>
      </c>
      <c r="C39" s="17">
        <v>40</v>
      </c>
      <c r="D39" s="17">
        <v>10</v>
      </c>
      <c r="E39" s="17">
        <v>797</v>
      </c>
      <c r="F39" s="17">
        <v>57</v>
      </c>
      <c r="G39" s="17">
        <v>26.56</v>
      </c>
      <c r="H39" s="17">
        <v>636</v>
      </c>
      <c r="I39" s="17">
        <v>125.31</v>
      </c>
      <c r="J39" s="17">
        <v>0</v>
      </c>
      <c r="K39" s="17">
        <v>1</v>
      </c>
      <c r="L39" s="17">
        <v>0</v>
      </c>
      <c r="M39" s="17">
        <v>70</v>
      </c>
      <c r="N39" s="17">
        <v>22</v>
      </c>
      <c r="O39" s="17"/>
      <c r="P39" s="18"/>
      <c r="Q39" s="2"/>
      <c r="R39" s="18"/>
      <c r="S39" s="18"/>
      <c r="T39" s="18"/>
      <c r="U39" s="18"/>
      <c r="V39" s="18"/>
      <c r="W39" s="18"/>
      <c r="X39" s="18"/>
      <c r="Y39" s="17">
        <v>25</v>
      </c>
      <c r="Z39" s="17">
        <v>25</v>
      </c>
      <c r="AA39" s="17">
        <v>0</v>
      </c>
      <c r="AB39" s="17">
        <v>0</v>
      </c>
      <c r="AC39" s="17">
        <v>25</v>
      </c>
      <c r="AD39" s="17">
        <v>0.58099999999999996</v>
      </c>
    </row>
    <row r="40" spans="1:32" ht="15.05" x14ac:dyDescent="0.25">
      <c r="A40" s="2" t="s">
        <v>150</v>
      </c>
      <c r="B40" s="17">
        <v>102</v>
      </c>
      <c r="C40" s="17">
        <v>102</v>
      </c>
      <c r="D40" s="17">
        <v>11</v>
      </c>
      <c r="E40" s="17">
        <v>2739</v>
      </c>
      <c r="F40" s="17" t="s">
        <v>60</v>
      </c>
      <c r="G40" s="17">
        <v>30.09</v>
      </c>
      <c r="H40" s="17">
        <v>2325</v>
      </c>
      <c r="I40" s="17">
        <v>117.8</v>
      </c>
      <c r="J40" s="17">
        <v>1</v>
      </c>
      <c r="K40" s="17">
        <v>20</v>
      </c>
      <c r="L40" s="17">
        <v>2</v>
      </c>
      <c r="M40" s="17">
        <v>261</v>
      </c>
      <c r="N40" s="17">
        <v>75</v>
      </c>
      <c r="O40" s="17">
        <v>1</v>
      </c>
      <c r="P40" s="17">
        <v>6</v>
      </c>
      <c r="Q40" s="16">
        <v>0</v>
      </c>
      <c r="R40" s="17">
        <v>3</v>
      </c>
      <c r="S40" s="17">
        <v>0</v>
      </c>
      <c r="T40" s="17"/>
      <c r="U40" s="17">
        <v>3</v>
      </c>
      <c r="V40" s="17"/>
      <c r="W40" s="17">
        <v>0</v>
      </c>
      <c r="X40" s="17">
        <v>0</v>
      </c>
      <c r="Y40" s="17">
        <v>50</v>
      </c>
      <c r="Z40" s="17">
        <v>50</v>
      </c>
      <c r="AA40" s="17">
        <v>0</v>
      </c>
      <c r="AB40" s="17">
        <v>0</v>
      </c>
      <c r="AC40" s="17">
        <v>50</v>
      </c>
      <c r="AD40" s="17">
        <v>0.495</v>
      </c>
    </row>
    <row r="41" spans="1:32" ht="15.05" x14ac:dyDescent="0.25">
      <c r="A41" s="8" t="s">
        <v>43</v>
      </c>
      <c r="B41" s="5">
        <v>14</v>
      </c>
      <c r="C41" s="5">
        <v>5</v>
      </c>
      <c r="D41" s="5">
        <v>4</v>
      </c>
      <c r="E41" s="5">
        <v>6</v>
      </c>
      <c r="F41" s="5" t="s">
        <v>62</v>
      </c>
      <c r="G41" s="5">
        <v>6</v>
      </c>
      <c r="H41" s="5">
        <v>12</v>
      </c>
      <c r="I41" s="5">
        <v>50</v>
      </c>
      <c r="J41" s="5">
        <v>0</v>
      </c>
      <c r="K41" s="5">
        <v>0</v>
      </c>
      <c r="L41" s="5">
        <v>1</v>
      </c>
      <c r="M41" s="5">
        <v>0</v>
      </c>
      <c r="N41" s="5">
        <v>0</v>
      </c>
      <c r="O41" s="5">
        <v>14</v>
      </c>
      <c r="P41" s="5">
        <v>296</v>
      </c>
      <c r="Q41" s="2"/>
      <c r="R41" s="5">
        <v>413</v>
      </c>
      <c r="S41" s="5">
        <v>22</v>
      </c>
      <c r="T41" s="5">
        <v>18.77</v>
      </c>
      <c r="U41" s="5">
        <v>8.3699999999999992</v>
      </c>
      <c r="V41" s="5">
        <v>13.4</v>
      </c>
      <c r="W41" s="5">
        <v>0</v>
      </c>
      <c r="X41" s="5">
        <v>0</v>
      </c>
      <c r="Y41" s="5">
        <v>4</v>
      </c>
      <c r="Z41" s="5">
        <v>4</v>
      </c>
      <c r="AA41" s="5">
        <v>0</v>
      </c>
      <c r="AB41" s="5">
        <v>0</v>
      </c>
      <c r="AC41" s="5">
        <v>4</v>
      </c>
      <c r="AD41" s="5">
        <v>0.28499999999999998</v>
      </c>
    </row>
    <row r="42" spans="1:32" ht="15.05" x14ac:dyDescent="0.25">
      <c r="A42" s="10" t="s">
        <v>114</v>
      </c>
      <c r="B42" s="21">
        <v>167</v>
      </c>
      <c r="C42" s="21">
        <v>164</v>
      </c>
      <c r="D42" s="21">
        <v>20</v>
      </c>
      <c r="E42" s="21">
        <v>5130</v>
      </c>
      <c r="F42" s="21" t="s">
        <v>138</v>
      </c>
      <c r="G42" s="21">
        <v>35.619999999999997</v>
      </c>
      <c r="H42" s="21">
        <v>3664</v>
      </c>
      <c r="I42" s="21">
        <v>140.01</v>
      </c>
      <c r="J42" s="21">
        <v>5</v>
      </c>
      <c r="K42" s="21">
        <v>36</v>
      </c>
      <c r="L42" s="21">
        <v>7</v>
      </c>
      <c r="M42" s="21">
        <v>574</v>
      </c>
      <c r="N42" s="21">
        <v>135</v>
      </c>
      <c r="O42" s="21">
        <v>0</v>
      </c>
      <c r="P42" s="21">
        <v>0</v>
      </c>
      <c r="Q42" s="2"/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115</v>
      </c>
      <c r="Z42" s="21">
        <v>115</v>
      </c>
      <c r="AA42" s="21">
        <v>0</v>
      </c>
      <c r="AB42" s="21">
        <v>0</v>
      </c>
      <c r="AC42" s="21">
        <v>115</v>
      </c>
      <c r="AD42" s="19">
        <v>0.69199999999999995</v>
      </c>
    </row>
    <row r="43" spans="1:32" ht="15.05" x14ac:dyDescent="0.25">
      <c r="A43" s="8" t="s">
        <v>26</v>
      </c>
      <c r="B43" s="6">
        <v>72</v>
      </c>
      <c r="C43" s="6">
        <v>12</v>
      </c>
      <c r="D43" s="6">
        <v>9</v>
      </c>
      <c r="E43" s="6">
        <v>40</v>
      </c>
      <c r="F43" s="6" t="s">
        <v>52</v>
      </c>
      <c r="G43" s="6">
        <v>13.33</v>
      </c>
      <c r="H43" s="6">
        <v>45</v>
      </c>
      <c r="I43" s="6">
        <v>88.88</v>
      </c>
      <c r="J43" s="6">
        <v>0</v>
      </c>
      <c r="K43" s="6">
        <v>0</v>
      </c>
      <c r="L43" s="6">
        <v>1</v>
      </c>
      <c r="M43" s="6">
        <v>1</v>
      </c>
      <c r="N43" s="6">
        <v>1</v>
      </c>
      <c r="O43" s="6">
        <v>71</v>
      </c>
      <c r="P43" s="6">
        <v>1538</v>
      </c>
      <c r="Q43" s="2"/>
      <c r="R43" s="6">
        <v>2017</v>
      </c>
      <c r="S43" s="6">
        <v>96</v>
      </c>
      <c r="T43" s="6">
        <v>21.01</v>
      </c>
      <c r="U43" s="6">
        <v>7.86</v>
      </c>
      <c r="V43" s="6">
        <v>16</v>
      </c>
      <c r="W43" s="6">
        <v>1</v>
      </c>
      <c r="X43" s="6">
        <v>0</v>
      </c>
      <c r="Y43" s="6">
        <v>16</v>
      </c>
      <c r="Z43" s="6">
        <v>16</v>
      </c>
      <c r="AA43" s="6">
        <v>0</v>
      </c>
      <c r="AB43" s="6">
        <v>0</v>
      </c>
      <c r="AC43" s="6">
        <v>16</v>
      </c>
      <c r="AD43" s="30">
        <v>0.22500000000000001</v>
      </c>
    </row>
    <row r="44" spans="1:32" ht="15.05" x14ac:dyDescent="0.25">
      <c r="A44" s="10" t="s">
        <v>127</v>
      </c>
      <c r="B44" s="21">
        <v>150</v>
      </c>
      <c r="C44" s="21">
        <v>112</v>
      </c>
      <c r="D44" s="21">
        <v>39</v>
      </c>
      <c r="E44" s="21">
        <v>1637</v>
      </c>
      <c r="F44" s="21">
        <v>63</v>
      </c>
      <c r="G44" s="21">
        <v>22.42</v>
      </c>
      <c r="H44" s="21">
        <v>1145</v>
      </c>
      <c r="I44" s="21">
        <v>142.96</v>
      </c>
      <c r="J44" s="21">
        <v>0</v>
      </c>
      <c r="K44" s="21">
        <v>2</v>
      </c>
      <c r="L44" s="21">
        <v>10</v>
      </c>
      <c r="M44" s="21">
        <v>101</v>
      </c>
      <c r="N44" s="21">
        <v>103</v>
      </c>
      <c r="O44" s="21">
        <v>149</v>
      </c>
      <c r="P44" s="21">
        <v>527</v>
      </c>
      <c r="Q44" s="19">
        <v>2</v>
      </c>
      <c r="R44" s="21">
        <v>4710</v>
      </c>
      <c r="S44" s="21">
        <v>175</v>
      </c>
      <c r="T44" s="21">
        <v>26.91</v>
      </c>
      <c r="U44" s="21">
        <v>8.93</v>
      </c>
      <c r="V44" s="21">
        <v>18</v>
      </c>
      <c r="W44" s="21">
        <v>7</v>
      </c>
      <c r="X44" s="28">
        <v>0</v>
      </c>
      <c r="Y44" s="21">
        <v>71</v>
      </c>
      <c r="Z44" s="21">
        <v>71</v>
      </c>
      <c r="AA44" s="21">
        <v>0</v>
      </c>
      <c r="AB44" s="21">
        <v>0</v>
      </c>
      <c r="AC44" s="21">
        <v>71</v>
      </c>
      <c r="AD44" s="21">
        <v>0.47299999999999998</v>
      </c>
      <c r="AF44" s="7"/>
    </row>
    <row r="45" spans="1:32" ht="15.05" x14ac:dyDescent="0.25">
      <c r="A45" s="8" t="s">
        <v>27</v>
      </c>
      <c r="B45" s="5">
        <v>21</v>
      </c>
      <c r="C45" s="5">
        <v>11</v>
      </c>
      <c r="D45" s="5">
        <v>2</v>
      </c>
      <c r="E45" s="5">
        <v>60</v>
      </c>
      <c r="F45" s="5">
        <v>18</v>
      </c>
      <c r="G45" s="5">
        <v>6.66</v>
      </c>
      <c r="H45" s="5">
        <v>70</v>
      </c>
      <c r="I45" s="5">
        <v>85.71</v>
      </c>
      <c r="J45" s="5">
        <v>0</v>
      </c>
      <c r="K45" s="5">
        <v>0</v>
      </c>
      <c r="L45" s="5">
        <v>1</v>
      </c>
      <c r="M45" s="5">
        <v>3</v>
      </c>
      <c r="N45" s="5">
        <v>1</v>
      </c>
      <c r="O45" s="5">
        <v>20</v>
      </c>
      <c r="P45" s="5">
        <f>78*6</f>
        <v>468</v>
      </c>
      <c r="Q45" s="6">
        <v>2</v>
      </c>
      <c r="R45" s="5">
        <v>629</v>
      </c>
      <c r="S45" s="5">
        <v>29</v>
      </c>
      <c r="T45" s="5">
        <v>21.68</v>
      </c>
      <c r="U45" s="5">
        <v>8.06</v>
      </c>
      <c r="V45" s="5">
        <v>16.100000000000001</v>
      </c>
      <c r="W45" s="5">
        <v>2</v>
      </c>
      <c r="X45" s="5">
        <v>0</v>
      </c>
      <c r="Y45" s="5">
        <v>5</v>
      </c>
      <c r="Z45" s="5">
        <v>5</v>
      </c>
      <c r="AA45" s="5">
        <v>0</v>
      </c>
      <c r="AB45" s="5">
        <v>0</v>
      </c>
      <c r="AC45" s="5">
        <v>5</v>
      </c>
      <c r="AD45" s="9">
        <v>0.25</v>
      </c>
    </row>
    <row r="46" spans="1:32" ht="15.05" x14ac:dyDescent="0.25">
      <c r="A46" s="8" t="s">
        <v>30</v>
      </c>
      <c r="B46" s="6">
        <v>107</v>
      </c>
      <c r="C46" s="6">
        <v>95</v>
      </c>
      <c r="D46" s="6">
        <v>22</v>
      </c>
      <c r="E46" s="6">
        <v>1613</v>
      </c>
      <c r="F46" s="6" t="s">
        <v>55</v>
      </c>
      <c r="G46" s="6">
        <v>22.09</v>
      </c>
      <c r="H46" s="6">
        <v>1138</v>
      </c>
      <c r="I46" s="6">
        <v>141.72999999999999</v>
      </c>
      <c r="J46" s="6">
        <v>0</v>
      </c>
      <c r="K46" s="6">
        <v>6</v>
      </c>
      <c r="L46" s="6">
        <v>7</v>
      </c>
      <c r="M46" s="6">
        <v>141</v>
      </c>
      <c r="N46" s="6">
        <v>73</v>
      </c>
      <c r="O46" s="6">
        <v>83</v>
      </c>
      <c r="P46" s="6">
        <v>1367</v>
      </c>
      <c r="Q46" s="2"/>
      <c r="R46" s="6">
        <v>2052</v>
      </c>
      <c r="S46" s="6">
        <v>90</v>
      </c>
      <c r="T46" s="6">
        <v>22.8</v>
      </c>
      <c r="U46" s="6">
        <v>9</v>
      </c>
      <c r="V46" s="6">
        <v>15.1</v>
      </c>
      <c r="W46" s="6">
        <v>1</v>
      </c>
      <c r="X46" s="6">
        <v>1</v>
      </c>
      <c r="Y46" s="6">
        <v>51</v>
      </c>
      <c r="Z46" s="6">
        <v>51</v>
      </c>
      <c r="AA46" s="6">
        <v>0</v>
      </c>
      <c r="AB46" s="6">
        <v>0</v>
      </c>
      <c r="AC46" s="6">
        <v>51</v>
      </c>
      <c r="AD46" s="30">
        <v>0.495</v>
      </c>
    </row>
    <row r="47" spans="1:32" ht="15.05" x14ac:dyDescent="0.25">
      <c r="A47" s="10" t="s">
        <v>82</v>
      </c>
      <c r="B47" s="11">
        <v>108</v>
      </c>
      <c r="C47" s="11">
        <v>105</v>
      </c>
      <c r="D47" s="11">
        <v>6</v>
      </c>
      <c r="E47" s="11">
        <v>3017</v>
      </c>
      <c r="F47" s="11" t="s">
        <v>100</v>
      </c>
      <c r="G47" s="11">
        <v>30.47</v>
      </c>
      <c r="H47" s="11">
        <v>2072</v>
      </c>
      <c r="I47" s="11">
        <v>145.6</v>
      </c>
      <c r="J47" s="11">
        <v>3</v>
      </c>
      <c r="K47" s="11">
        <v>16</v>
      </c>
      <c r="L47" s="11">
        <v>5</v>
      </c>
      <c r="M47" s="11">
        <v>272</v>
      </c>
      <c r="N47" s="11">
        <v>189</v>
      </c>
      <c r="O47" s="11">
        <v>2</v>
      </c>
      <c r="P47" s="11">
        <v>2</v>
      </c>
      <c r="Q47" s="2"/>
      <c r="R47" s="11">
        <v>16</v>
      </c>
      <c r="S47" s="11">
        <v>1</v>
      </c>
      <c r="T47" s="11">
        <v>16</v>
      </c>
      <c r="U47" s="11">
        <v>8</v>
      </c>
      <c r="V47" s="11">
        <v>12</v>
      </c>
      <c r="W47" s="11">
        <v>0</v>
      </c>
      <c r="X47" s="11">
        <v>0</v>
      </c>
      <c r="Y47" s="11">
        <v>42</v>
      </c>
      <c r="Z47" s="11">
        <v>40</v>
      </c>
      <c r="AA47" s="11">
        <v>2</v>
      </c>
      <c r="AB47" s="11">
        <v>5</v>
      </c>
      <c r="AC47" s="11">
        <v>35</v>
      </c>
      <c r="AD47" s="11">
        <v>0.39600000000000002</v>
      </c>
    </row>
    <row r="48" spans="1:32" ht="15.05" x14ac:dyDescent="0.25">
      <c r="A48" s="10" t="s">
        <v>106</v>
      </c>
      <c r="B48" s="21">
        <v>78</v>
      </c>
      <c r="C48" s="21">
        <v>74</v>
      </c>
      <c r="D48" s="21">
        <v>9</v>
      </c>
      <c r="E48" s="21">
        <v>1991</v>
      </c>
      <c r="F48" s="21">
        <v>116</v>
      </c>
      <c r="G48" s="21">
        <v>30.63</v>
      </c>
      <c r="H48" s="21">
        <v>1391</v>
      </c>
      <c r="I48" s="21">
        <v>143.13</v>
      </c>
      <c r="J48" s="21">
        <v>2</v>
      </c>
      <c r="K48" s="21">
        <v>9</v>
      </c>
      <c r="L48" s="21">
        <v>5</v>
      </c>
      <c r="M48" s="21">
        <v>189</v>
      </c>
      <c r="N48" s="21">
        <v>98</v>
      </c>
      <c r="O48" s="21">
        <v>0</v>
      </c>
      <c r="P48" s="21">
        <v>0</v>
      </c>
      <c r="Q48" s="2"/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34</v>
      </c>
      <c r="Z48" s="21">
        <v>33</v>
      </c>
      <c r="AA48" s="21">
        <v>1</v>
      </c>
      <c r="AB48" s="21">
        <v>23</v>
      </c>
      <c r="AC48" s="21">
        <v>10</v>
      </c>
      <c r="AD48" s="21">
        <v>0.435</v>
      </c>
    </row>
    <row r="49" spans="1:30" ht="15.05" x14ac:dyDescent="0.25">
      <c r="A49" s="2" t="s">
        <v>153</v>
      </c>
      <c r="B49" s="17">
        <v>82</v>
      </c>
      <c r="C49" s="17">
        <v>31</v>
      </c>
      <c r="D49" s="17">
        <v>24</v>
      </c>
      <c r="E49" s="17">
        <v>98</v>
      </c>
      <c r="F49" s="17" t="s">
        <v>154</v>
      </c>
      <c r="G49" s="17">
        <v>14</v>
      </c>
      <c r="H49" s="17">
        <v>112</v>
      </c>
      <c r="I49" s="17">
        <v>87.5</v>
      </c>
      <c r="J49" s="17">
        <v>0</v>
      </c>
      <c r="K49" s="17">
        <v>0</v>
      </c>
      <c r="L49" s="17">
        <v>5</v>
      </c>
      <c r="M49" s="17">
        <v>10</v>
      </c>
      <c r="N49" s="16">
        <v>2</v>
      </c>
      <c r="O49" s="17">
        <v>81</v>
      </c>
      <c r="P49" s="17">
        <f>1674</f>
        <v>1674</v>
      </c>
      <c r="Q49" s="2"/>
      <c r="R49" s="17">
        <v>2264</v>
      </c>
      <c r="S49" s="17">
        <v>104</v>
      </c>
      <c r="T49" s="17">
        <v>21.76</v>
      </c>
      <c r="U49" s="17">
        <v>8.11</v>
      </c>
      <c r="V49" s="17">
        <v>16</v>
      </c>
      <c r="W49" s="17">
        <v>2</v>
      </c>
      <c r="X49" s="17">
        <v>1</v>
      </c>
      <c r="Y49" s="17">
        <v>27</v>
      </c>
      <c r="Z49" s="17">
        <v>27</v>
      </c>
      <c r="AA49" s="17">
        <v>0</v>
      </c>
      <c r="AB49" s="17">
        <v>0</v>
      </c>
      <c r="AC49" s="17">
        <v>27</v>
      </c>
      <c r="AD49" s="17">
        <v>0.33300000000000002</v>
      </c>
    </row>
    <row r="50" spans="1:30" ht="15.05" x14ac:dyDescent="0.25">
      <c r="A50" s="10" t="s">
        <v>74</v>
      </c>
      <c r="B50" s="11">
        <v>40</v>
      </c>
      <c r="C50" s="11">
        <v>38</v>
      </c>
      <c r="D50" s="11">
        <v>1</v>
      </c>
      <c r="E50" s="11">
        <v>730</v>
      </c>
      <c r="F50" s="11" t="s">
        <v>96</v>
      </c>
      <c r="G50" s="11">
        <v>19.72</v>
      </c>
      <c r="H50" s="11">
        <v>584</v>
      </c>
      <c r="I50" s="11">
        <v>125</v>
      </c>
      <c r="J50" s="11">
        <v>0</v>
      </c>
      <c r="K50" s="11">
        <v>3</v>
      </c>
      <c r="L50" s="11">
        <v>1</v>
      </c>
      <c r="M50" s="11">
        <v>74</v>
      </c>
      <c r="N50" s="11">
        <v>17</v>
      </c>
      <c r="O50" s="12" t="s">
        <v>189</v>
      </c>
      <c r="P50" s="12" t="s">
        <v>189</v>
      </c>
      <c r="Q50" s="2"/>
      <c r="R50" s="12" t="s">
        <v>189</v>
      </c>
      <c r="S50" s="12" t="s">
        <v>189</v>
      </c>
      <c r="T50" s="12" t="s">
        <v>189</v>
      </c>
      <c r="U50" s="12" t="s">
        <v>189</v>
      </c>
      <c r="V50" s="12" t="s">
        <v>189</v>
      </c>
      <c r="W50" s="12" t="s">
        <v>189</v>
      </c>
      <c r="X50" s="12" t="s">
        <v>189</v>
      </c>
      <c r="Y50" s="11">
        <v>43</v>
      </c>
      <c r="Z50" s="11">
        <v>42</v>
      </c>
      <c r="AA50" s="11">
        <v>1</v>
      </c>
      <c r="AB50" s="11">
        <v>42</v>
      </c>
      <c r="AC50" s="11">
        <v>0</v>
      </c>
      <c r="AD50" s="33">
        <f>Y50/B50</f>
        <v>1.075</v>
      </c>
    </row>
    <row r="51" spans="1:30" ht="15.05" x14ac:dyDescent="0.25">
      <c r="A51" s="2" t="s">
        <v>181</v>
      </c>
      <c r="B51" s="17">
        <v>42</v>
      </c>
      <c r="C51" s="17">
        <v>16</v>
      </c>
      <c r="D51" s="17">
        <v>10</v>
      </c>
      <c r="E51" s="17">
        <v>85</v>
      </c>
      <c r="F51" s="17">
        <v>15</v>
      </c>
      <c r="G51" s="17">
        <v>14.16</v>
      </c>
      <c r="H51" s="17">
        <v>87</v>
      </c>
      <c r="I51" s="17">
        <v>97.7</v>
      </c>
      <c r="J51" s="17">
        <v>0</v>
      </c>
      <c r="K51" s="17">
        <v>0</v>
      </c>
      <c r="L51" s="17">
        <v>1</v>
      </c>
      <c r="M51" s="17">
        <v>7</v>
      </c>
      <c r="N51" s="17">
        <v>1</v>
      </c>
      <c r="O51" s="17">
        <v>39</v>
      </c>
      <c r="P51" s="17">
        <f>122.4*6</f>
        <v>734.40000000000009</v>
      </c>
      <c r="Q51" s="16">
        <v>0</v>
      </c>
      <c r="R51" s="17">
        <v>1059</v>
      </c>
      <c r="S51" s="17">
        <v>51</v>
      </c>
      <c r="T51" s="17">
        <v>20.76</v>
      </c>
      <c r="U51" s="17">
        <v>8.6300000000000008</v>
      </c>
      <c r="V51" s="17">
        <v>14.4</v>
      </c>
      <c r="W51" s="17">
        <v>1</v>
      </c>
      <c r="X51" s="17">
        <v>1</v>
      </c>
      <c r="Y51" s="17">
        <v>8</v>
      </c>
      <c r="Z51" s="17">
        <v>8</v>
      </c>
      <c r="AA51" s="17">
        <v>0</v>
      </c>
      <c r="AB51" s="17">
        <v>0</v>
      </c>
      <c r="AC51" s="17">
        <v>8</v>
      </c>
      <c r="AD51" s="17">
        <v>0.20499999999999999</v>
      </c>
    </row>
    <row r="52" spans="1:30" ht="15.05" x14ac:dyDescent="0.25">
      <c r="A52" s="10" t="s">
        <v>3</v>
      </c>
      <c r="B52" s="11">
        <v>18</v>
      </c>
      <c r="C52" s="11">
        <v>18</v>
      </c>
      <c r="D52" s="11">
        <v>3</v>
      </c>
      <c r="E52" s="11">
        <v>515</v>
      </c>
      <c r="F52" s="11" t="s">
        <v>92</v>
      </c>
      <c r="G52" s="11">
        <v>34.33</v>
      </c>
      <c r="H52" s="11">
        <v>375</v>
      </c>
      <c r="I52" s="11">
        <v>137.33000000000001</v>
      </c>
      <c r="J52" s="11">
        <v>0</v>
      </c>
      <c r="K52" s="11">
        <v>5</v>
      </c>
      <c r="L52" s="11">
        <v>0</v>
      </c>
      <c r="M52" s="11">
        <v>50</v>
      </c>
      <c r="N52" s="11">
        <v>20</v>
      </c>
      <c r="O52" s="12" t="s">
        <v>189</v>
      </c>
      <c r="P52" s="12" t="s">
        <v>189</v>
      </c>
      <c r="Q52" s="2"/>
      <c r="R52" s="12" t="s">
        <v>189</v>
      </c>
      <c r="S52" s="12" t="s">
        <v>189</v>
      </c>
      <c r="T52" s="12" t="s">
        <v>189</v>
      </c>
      <c r="U52" s="12" t="s">
        <v>189</v>
      </c>
      <c r="V52" s="12" t="s">
        <v>189</v>
      </c>
      <c r="W52" s="12" t="s">
        <v>189</v>
      </c>
      <c r="X52" s="12" t="s">
        <v>189</v>
      </c>
      <c r="Y52" s="11">
        <v>19</v>
      </c>
      <c r="Z52" s="11">
        <v>16</v>
      </c>
      <c r="AA52" s="11">
        <v>3</v>
      </c>
      <c r="AB52" s="11">
        <v>16</v>
      </c>
      <c r="AC52" s="11">
        <v>0</v>
      </c>
      <c r="AD52" s="33">
        <f>Y52/B52</f>
        <v>1.0555555555555556</v>
      </c>
    </row>
    <row r="53" spans="1:30" ht="15.05" x14ac:dyDescent="0.25">
      <c r="A53" s="10" t="s">
        <v>107</v>
      </c>
      <c r="B53" s="21">
        <v>65</v>
      </c>
      <c r="C53" s="21">
        <v>61</v>
      </c>
      <c r="D53" s="21">
        <v>8</v>
      </c>
      <c r="E53" s="21">
        <v>1630</v>
      </c>
      <c r="F53" s="21">
        <v>63</v>
      </c>
      <c r="G53" s="21">
        <v>30.75</v>
      </c>
      <c r="H53" s="21">
        <v>1358</v>
      </c>
      <c r="I53" s="21">
        <v>120.02</v>
      </c>
      <c r="J53" s="21">
        <v>0</v>
      </c>
      <c r="K53" s="21">
        <v>11</v>
      </c>
      <c r="L53" s="21">
        <v>1</v>
      </c>
      <c r="M53" s="21">
        <v>144</v>
      </c>
      <c r="N53" s="21">
        <v>48</v>
      </c>
      <c r="O53" s="21">
        <v>0</v>
      </c>
      <c r="P53" s="21">
        <v>0</v>
      </c>
      <c r="Q53" s="2"/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34</v>
      </c>
      <c r="Z53" s="21">
        <v>34</v>
      </c>
      <c r="AA53" s="21">
        <v>0</v>
      </c>
      <c r="AB53" s="21">
        <v>0</v>
      </c>
      <c r="AC53" s="21">
        <v>34</v>
      </c>
      <c r="AD53" s="19">
        <v>0.52300000000000002</v>
      </c>
    </row>
    <row r="54" spans="1:30" ht="15.05" x14ac:dyDescent="0.25">
      <c r="A54" s="8" t="s">
        <v>45</v>
      </c>
      <c r="B54" s="5">
        <v>55</v>
      </c>
      <c r="C54" s="5">
        <v>46</v>
      </c>
      <c r="D54" s="5">
        <v>12</v>
      </c>
      <c r="E54" s="5">
        <v>603</v>
      </c>
      <c r="F54" s="5">
        <v>56</v>
      </c>
      <c r="G54" s="5">
        <v>17.73</v>
      </c>
      <c r="H54" s="5">
        <v>461</v>
      </c>
      <c r="I54" s="5">
        <v>130.80000000000001</v>
      </c>
      <c r="J54" s="5">
        <v>0</v>
      </c>
      <c r="K54" s="5">
        <v>1</v>
      </c>
      <c r="L54" s="5">
        <v>3</v>
      </c>
      <c r="M54" s="5">
        <v>39</v>
      </c>
      <c r="N54" s="5">
        <v>38</v>
      </c>
      <c r="O54" s="5">
        <v>31</v>
      </c>
      <c r="P54" s="5">
        <v>375</v>
      </c>
      <c r="Q54" s="6">
        <v>0</v>
      </c>
      <c r="R54" s="5">
        <v>680</v>
      </c>
      <c r="S54" s="5">
        <v>18</v>
      </c>
      <c r="T54" s="5">
        <v>37.770000000000003</v>
      </c>
      <c r="U54" s="5">
        <v>10.85</v>
      </c>
      <c r="V54" s="5">
        <v>20.8</v>
      </c>
      <c r="W54" s="5">
        <v>0</v>
      </c>
      <c r="X54" s="5">
        <v>0</v>
      </c>
      <c r="Y54" s="5">
        <v>26</v>
      </c>
      <c r="Z54" s="5">
        <v>26</v>
      </c>
      <c r="AA54" s="5">
        <v>0</v>
      </c>
      <c r="AB54" s="5">
        <v>0</v>
      </c>
      <c r="AC54" s="5">
        <v>26</v>
      </c>
      <c r="AD54" s="5">
        <v>0.48099999999999998</v>
      </c>
    </row>
    <row r="55" spans="1:30" ht="15.05" x14ac:dyDescent="0.25">
      <c r="A55" s="10" t="s">
        <v>69</v>
      </c>
      <c r="B55" s="11">
        <v>66</v>
      </c>
      <c r="C55" s="11">
        <v>36</v>
      </c>
      <c r="D55" s="11">
        <v>15</v>
      </c>
      <c r="E55" s="11">
        <v>188</v>
      </c>
      <c r="F55" s="11" t="s">
        <v>93</v>
      </c>
      <c r="G55" s="11">
        <v>8.9499999999999993</v>
      </c>
      <c r="H55" s="11">
        <v>236</v>
      </c>
      <c r="I55" s="11">
        <v>79.66</v>
      </c>
      <c r="J55" s="11">
        <v>0</v>
      </c>
      <c r="K55" s="11">
        <v>0</v>
      </c>
      <c r="L55" s="11">
        <v>1</v>
      </c>
      <c r="M55" s="11">
        <v>11</v>
      </c>
      <c r="N55" s="11">
        <v>7</v>
      </c>
      <c r="O55" s="11">
        <v>63</v>
      </c>
      <c r="P55" s="11">
        <f>217*6</f>
        <v>1302</v>
      </c>
      <c r="Q55" s="2"/>
      <c r="R55" s="11">
        <v>1637</v>
      </c>
      <c r="S55" s="11">
        <v>60</v>
      </c>
      <c r="T55" s="11">
        <v>27.28</v>
      </c>
      <c r="U55" s="11">
        <v>7.54</v>
      </c>
      <c r="V55" s="11">
        <v>21.7</v>
      </c>
      <c r="W55" s="11">
        <v>0</v>
      </c>
      <c r="X55" s="11">
        <v>0</v>
      </c>
      <c r="Y55" s="11">
        <v>21</v>
      </c>
      <c r="Z55" s="11">
        <v>21</v>
      </c>
      <c r="AA55" s="11">
        <v>0</v>
      </c>
      <c r="AB55" s="11">
        <v>0</v>
      </c>
      <c r="AC55" s="11">
        <v>21</v>
      </c>
      <c r="AD55" s="32">
        <f>Y55/B55</f>
        <v>0.31818181818181818</v>
      </c>
    </row>
    <row r="56" spans="1:30" ht="15.05" x14ac:dyDescent="0.25">
      <c r="A56" s="10" t="s">
        <v>72</v>
      </c>
      <c r="B56" s="11">
        <v>101</v>
      </c>
      <c r="C56" s="11">
        <v>97</v>
      </c>
      <c r="D56" s="11">
        <v>7</v>
      </c>
      <c r="E56" s="11">
        <v>2795</v>
      </c>
      <c r="F56" s="11" t="s">
        <v>94</v>
      </c>
      <c r="G56" s="11">
        <v>31.05</v>
      </c>
      <c r="H56" s="11">
        <v>2013</v>
      </c>
      <c r="I56" s="11">
        <v>138.84</v>
      </c>
      <c r="J56" s="11">
        <v>2</v>
      </c>
      <c r="K56" s="11">
        <v>16</v>
      </c>
      <c r="L56" s="11">
        <v>6</v>
      </c>
      <c r="M56" s="11">
        <v>280</v>
      </c>
      <c r="N56" s="11">
        <v>107</v>
      </c>
      <c r="O56" s="12" t="s">
        <v>189</v>
      </c>
      <c r="P56" s="12" t="s">
        <v>189</v>
      </c>
      <c r="Q56" s="2"/>
      <c r="R56" s="12" t="s">
        <v>189</v>
      </c>
      <c r="S56" s="12" t="s">
        <v>189</v>
      </c>
      <c r="T56" s="12" t="s">
        <v>189</v>
      </c>
      <c r="U56" s="12" t="s">
        <v>189</v>
      </c>
      <c r="V56" s="12" t="s">
        <v>189</v>
      </c>
      <c r="W56" s="12" t="s">
        <v>189</v>
      </c>
      <c r="X56" s="12" t="s">
        <v>189</v>
      </c>
      <c r="Y56" s="11">
        <v>69</v>
      </c>
      <c r="Z56" s="11">
        <v>50</v>
      </c>
      <c r="AA56" s="11">
        <v>19</v>
      </c>
      <c r="AB56" s="11">
        <v>45</v>
      </c>
      <c r="AC56" s="11">
        <v>5</v>
      </c>
      <c r="AD56" s="33">
        <f>Y56/B56</f>
        <v>0.68316831683168322</v>
      </c>
    </row>
    <row r="57" spans="1:30" ht="15.05" x14ac:dyDescent="0.25">
      <c r="A57" s="10" t="s">
        <v>73</v>
      </c>
      <c r="B57" s="11">
        <v>80</v>
      </c>
      <c r="C57" s="11">
        <v>78</v>
      </c>
      <c r="D57" s="11">
        <v>10</v>
      </c>
      <c r="E57" s="11">
        <v>2222</v>
      </c>
      <c r="F57" s="11" t="s">
        <v>95</v>
      </c>
      <c r="G57" s="11">
        <v>32.67</v>
      </c>
      <c r="H57" s="11">
        <v>1513</v>
      </c>
      <c r="I57" s="11">
        <v>146.86000000000001</v>
      </c>
      <c r="J57" s="11">
        <v>2</v>
      </c>
      <c r="K57" s="11">
        <v>14</v>
      </c>
      <c r="L57" s="11">
        <v>8</v>
      </c>
      <c r="M57" s="11">
        <v>221</v>
      </c>
      <c r="N57" s="11">
        <v>86</v>
      </c>
      <c r="O57" s="12" t="s">
        <v>189</v>
      </c>
      <c r="P57" s="12" t="s">
        <v>189</v>
      </c>
      <c r="Q57" s="2"/>
      <c r="R57" s="12" t="s">
        <v>189</v>
      </c>
      <c r="S57" s="12" t="s">
        <v>189</v>
      </c>
      <c r="T57" s="12" t="s">
        <v>189</v>
      </c>
      <c r="U57" s="12" t="s">
        <v>189</v>
      </c>
      <c r="V57" s="12" t="s">
        <v>189</v>
      </c>
      <c r="W57" s="12" t="s">
        <v>189</v>
      </c>
      <c r="X57" s="12" t="s">
        <v>189</v>
      </c>
      <c r="Y57" s="11">
        <v>22</v>
      </c>
      <c r="Z57" s="11">
        <v>18</v>
      </c>
      <c r="AA57" s="11">
        <v>4</v>
      </c>
      <c r="AB57" s="11">
        <v>6</v>
      </c>
      <c r="AC57" s="11">
        <v>12</v>
      </c>
      <c r="AD57" s="33">
        <f>Y57/B57</f>
        <v>0.27500000000000002</v>
      </c>
    </row>
    <row r="58" spans="1:30" ht="15.05" x14ac:dyDescent="0.25">
      <c r="A58" s="8" t="s">
        <v>35</v>
      </c>
      <c r="B58" s="5">
        <v>31</v>
      </c>
      <c r="C58" s="5">
        <v>17</v>
      </c>
      <c r="D58" s="5">
        <v>10</v>
      </c>
      <c r="E58" s="5">
        <v>118</v>
      </c>
      <c r="F58" s="5" t="s">
        <v>57</v>
      </c>
      <c r="G58" s="5">
        <v>16.850000000000001</v>
      </c>
      <c r="H58" s="5">
        <v>107</v>
      </c>
      <c r="I58" s="5">
        <v>110.28</v>
      </c>
      <c r="J58" s="5">
        <v>0</v>
      </c>
      <c r="K58" s="5">
        <v>0</v>
      </c>
      <c r="L58" s="5">
        <v>2</v>
      </c>
      <c r="M58" s="5">
        <v>10</v>
      </c>
      <c r="N58" s="5">
        <v>2</v>
      </c>
      <c r="O58" s="5">
        <v>30</v>
      </c>
      <c r="P58" s="5">
        <v>656</v>
      </c>
      <c r="Q58" s="6">
        <v>3</v>
      </c>
      <c r="R58" s="5">
        <v>810</v>
      </c>
      <c r="S58" s="5">
        <v>35</v>
      </c>
      <c r="T58" s="5">
        <v>23.14</v>
      </c>
      <c r="U58" s="5">
        <v>7.38</v>
      </c>
      <c r="V58" s="5">
        <v>18.8</v>
      </c>
      <c r="W58" s="5">
        <v>1</v>
      </c>
      <c r="X58" s="5">
        <v>0</v>
      </c>
      <c r="Y58" s="5">
        <v>10</v>
      </c>
      <c r="Z58" s="5">
        <v>10</v>
      </c>
      <c r="AA58" s="5">
        <v>0</v>
      </c>
      <c r="AB58" s="5">
        <v>0</v>
      </c>
      <c r="AC58" s="5">
        <v>10</v>
      </c>
      <c r="AD58" s="30">
        <v>0.33300000000000002</v>
      </c>
    </row>
    <row r="59" spans="1:30" ht="15.05" x14ac:dyDescent="0.25">
      <c r="A59" s="10" t="s">
        <v>135</v>
      </c>
      <c r="B59" s="21">
        <v>135</v>
      </c>
      <c r="C59" s="21">
        <v>132</v>
      </c>
      <c r="D59" s="21">
        <v>6</v>
      </c>
      <c r="E59" s="21">
        <v>3215</v>
      </c>
      <c r="F59" s="21">
        <v>92</v>
      </c>
      <c r="G59" s="21">
        <v>25.51</v>
      </c>
      <c r="H59" s="21">
        <v>2295</v>
      </c>
      <c r="I59" s="21">
        <v>140.08000000000001</v>
      </c>
      <c r="J59" s="21">
        <v>0</v>
      </c>
      <c r="K59" s="21">
        <v>19</v>
      </c>
      <c r="L59" s="21">
        <v>11</v>
      </c>
      <c r="M59" s="21">
        <v>286</v>
      </c>
      <c r="N59" s="21">
        <v>205</v>
      </c>
      <c r="O59" s="21">
        <v>94</v>
      </c>
      <c r="P59" s="21">
        <f>ROUND(207.3*6,0)</f>
        <v>1244</v>
      </c>
      <c r="Q59" s="19">
        <v>3</v>
      </c>
      <c r="R59" s="21">
        <v>1642</v>
      </c>
      <c r="S59" s="21">
        <v>51</v>
      </c>
      <c r="T59" s="21">
        <v>32.19</v>
      </c>
      <c r="U59" s="21">
        <v>7.91</v>
      </c>
      <c r="V59" s="21">
        <v>24.4</v>
      </c>
      <c r="W59" s="21">
        <v>1</v>
      </c>
      <c r="X59" s="28">
        <v>0</v>
      </c>
      <c r="Y59" s="21">
        <v>41</v>
      </c>
      <c r="Z59" s="21">
        <v>41</v>
      </c>
      <c r="AA59" s="21">
        <v>0</v>
      </c>
      <c r="AB59" s="21">
        <v>0</v>
      </c>
      <c r="AC59" s="21">
        <v>41</v>
      </c>
      <c r="AD59" s="19">
        <v>0.30499999999999999</v>
      </c>
    </row>
    <row r="60" spans="1:30" ht="15.05" x14ac:dyDescent="0.25">
      <c r="A60" s="10" t="s">
        <v>86</v>
      </c>
      <c r="B60" s="11">
        <v>43</v>
      </c>
      <c r="C60" s="11">
        <v>41</v>
      </c>
      <c r="D60" s="11">
        <v>7</v>
      </c>
      <c r="E60" s="11">
        <v>894</v>
      </c>
      <c r="F60" s="11" t="s">
        <v>102</v>
      </c>
      <c r="G60" s="11">
        <v>26.29</v>
      </c>
      <c r="H60" s="11">
        <v>655</v>
      </c>
      <c r="I60" s="11">
        <v>136.47999999999999</v>
      </c>
      <c r="J60" s="11">
        <v>1</v>
      </c>
      <c r="K60" s="11">
        <v>2</v>
      </c>
      <c r="L60" s="11">
        <v>1</v>
      </c>
      <c r="M60" s="11">
        <v>67</v>
      </c>
      <c r="N60" s="11">
        <v>33</v>
      </c>
      <c r="O60" s="12" t="s">
        <v>189</v>
      </c>
      <c r="P60" s="12" t="s">
        <v>189</v>
      </c>
      <c r="Q60" s="2"/>
      <c r="R60" s="12" t="s">
        <v>189</v>
      </c>
      <c r="S60" s="12" t="s">
        <v>189</v>
      </c>
      <c r="T60" s="12" t="s">
        <v>189</v>
      </c>
      <c r="U60" s="12" t="s">
        <v>189</v>
      </c>
      <c r="V60" s="12" t="s">
        <v>189</v>
      </c>
      <c r="W60" s="12" t="s">
        <v>189</v>
      </c>
      <c r="X60" s="12" t="s">
        <v>189</v>
      </c>
      <c r="Y60" s="11">
        <v>21</v>
      </c>
      <c r="Z60" s="11">
        <v>18</v>
      </c>
      <c r="AA60" s="11">
        <v>3</v>
      </c>
      <c r="AB60" s="11">
        <v>18</v>
      </c>
      <c r="AC60" s="11">
        <v>0</v>
      </c>
      <c r="AD60" s="35">
        <v>0.52500000000000002</v>
      </c>
    </row>
    <row r="61" spans="1:30" ht="15.05" x14ac:dyDescent="0.25">
      <c r="A61" s="10" t="s">
        <v>83</v>
      </c>
      <c r="B61" s="24">
        <v>98</v>
      </c>
      <c r="C61" s="24">
        <v>97</v>
      </c>
      <c r="D61" s="24">
        <v>6</v>
      </c>
      <c r="E61" s="24">
        <v>2563</v>
      </c>
      <c r="F61" s="24" t="s">
        <v>58</v>
      </c>
      <c r="G61" s="24">
        <v>28.16</v>
      </c>
      <c r="H61" s="24">
        <v>1972</v>
      </c>
      <c r="I61" s="24">
        <v>129.96</v>
      </c>
      <c r="J61" s="24">
        <v>1</v>
      </c>
      <c r="K61" s="24">
        <v>17</v>
      </c>
      <c r="L61" s="24">
        <v>5</v>
      </c>
      <c r="M61" s="24">
        <v>257</v>
      </c>
      <c r="N61" s="24">
        <v>90</v>
      </c>
      <c r="O61" s="25" t="s">
        <v>189</v>
      </c>
      <c r="P61" s="25" t="s">
        <v>189</v>
      </c>
      <c r="Q61" s="2"/>
      <c r="R61" s="25" t="s">
        <v>189</v>
      </c>
      <c r="S61" s="25" t="s">
        <v>189</v>
      </c>
      <c r="T61" s="25" t="s">
        <v>189</v>
      </c>
      <c r="U61" s="25" t="s">
        <v>189</v>
      </c>
      <c r="V61" s="25" t="s">
        <v>189</v>
      </c>
      <c r="W61" s="25" t="s">
        <v>189</v>
      </c>
      <c r="X61" s="25" t="s">
        <v>189</v>
      </c>
      <c r="Y61" s="24">
        <v>92</v>
      </c>
      <c r="Z61" s="24">
        <v>75</v>
      </c>
      <c r="AA61" s="24">
        <v>17</v>
      </c>
      <c r="AB61" s="24">
        <v>59</v>
      </c>
      <c r="AC61" s="24">
        <v>16</v>
      </c>
      <c r="AD61" s="24">
        <v>0.94799999999999995</v>
      </c>
    </row>
    <row r="62" spans="1:30" ht="15.05" x14ac:dyDescent="0.25">
      <c r="A62" s="10" t="s">
        <v>88</v>
      </c>
      <c r="B62" s="24">
        <v>115</v>
      </c>
      <c r="C62" s="24">
        <v>54</v>
      </c>
      <c r="D62" s="24">
        <v>25</v>
      </c>
      <c r="E62" s="24">
        <v>275</v>
      </c>
      <c r="F62" s="24">
        <v>30</v>
      </c>
      <c r="G62" s="24">
        <v>9.48</v>
      </c>
      <c r="H62" s="24">
        <v>228</v>
      </c>
      <c r="I62" s="24">
        <v>120.61</v>
      </c>
      <c r="J62" s="24">
        <v>0</v>
      </c>
      <c r="K62" s="24">
        <v>0</v>
      </c>
      <c r="L62" s="24">
        <v>8</v>
      </c>
      <c r="M62" s="24">
        <v>15</v>
      </c>
      <c r="N62" s="24">
        <v>12</v>
      </c>
      <c r="O62" s="24">
        <v>115</v>
      </c>
      <c r="P62" s="24">
        <v>2403</v>
      </c>
      <c r="Q62" s="2"/>
      <c r="R62" s="24">
        <v>3386</v>
      </c>
      <c r="S62" s="24">
        <v>134</v>
      </c>
      <c r="T62" s="24">
        <v>25.26</v>
      </c>
      <c r="U62" s="24">
        <v>8.4499999999999993</v>
      </c>
      <c r="V62" s="24">
        <v>17.899999999999999</v>
      </c>
      <c r="W62" s="24">
        <v>0</v>
      </c>
      <c r="X62" s="24">
        <v>1</v>
      </c>
      <c r="Y62" s="24">
        <v>41</v>
      </c>
      <c r="Z62" s="24">
        <v>41</v>
      </c>
      <c r="AA62" s="24">
        <v>0</v>
      </c>
      <c r="AB62" s="24">
        <v>0</v>
      </c>
      <c r="AC62" s="24">
        <v>41</v>
      </c>
      <c r="AD62" s="24">
        <v>0.35599999999999998</v>
      </c>
    </row>
    <row r="63" spans="1:30" ht="15.05" x14ac:dyDescent="0.25">
      <c r="A63" s="2" t="s">
        <v>182</v>
      </c>
      <c r="B63" s="23">
        <v>67</v>
      </c>
      <c r="C63" s="23">
        <v>47</v>
      </c>
      <c r="D63" s="23">
        <v>9</v>
      </c>
      <c r="E63" s="23">
        <v>593</v>
      </c>
      <c r="F63" s="23">
        <v>72</v>
      </c>
      <c r="G63" s="23">
        <v>15.6</v>
      </c>
      <c r="H63" s="23">
        <v>508</v>
      </c>
      <c r="I63" s="23">
        <v>116.73</v>
      </c>
      <c r="J63" s="23">
        <v>0</v>
      </c>
      <c r="K63" s="23">
        <v>2</v>
      </c>
      <c r="L63" s="23">
        <v>5</v>
      </c>
      <c r="M63" s="23">
        <v>57</v>
      </c>
      <c r="N63" s="23">
        <v>25</v>
      </c>
      <c r="O63" s="23">
        <v>65</v>
      </c>
      <c r="P63" s="23">
        <f>209.3*6</f>
        <v>1255.8000000000002</v>
      </c>
      <c r="Q63" s="16">
        <v>5</v>
      </c>
      <c r="R63" s="23">
        <v>1469</v>
      </c>
      <c r="S63" s="23">
        <v>62</v>
      </c>
      <c r="T63" s="23">
        <v>23.69</v>
      </c>
      <c r="U63" s="23">
        <v>7.01</v>
      </c>
      <c r="V63" s="23">
        <v>20.2</v>
      </c>
      <c r="W63" s="23">
        <v>2</v>
      </c>
      <c r="X63" s="23">
        <v>0</v>
      </c>
      <c r="Y63" s="23">
        <v>20</v>
      </c>
      <c r="Z63" s="23">
        <v>20</v>
      </c>
      <c r="AA63" s="23">
        <v>0</v>
      </c>
      <c r="AB63" s="23">
        <v>0</v>
      </c>
      <c r="AC63" s="23">
        <v>20</v>
      </c>
      <c r="AD63" s="23">
        <v>0.30299999999999999</v>
      </c>
    </row>
    <row r="64" spans="1:30" ht="15.05" x14ac:dyDescent="0.25">
      <c r="A64" s="10" t="s">
        <v>132</v>
      </c>
      <c r="B64" s="13">
        <v>91</v>
      </c>
      <c r="C64" s="13">
        <v>79</v>
      </c>
      <c r="D64" s="13">
        <v>16</v>
      </c>
      <c r="E64" s="13">
        <v>1742</v>
      </c>
      <c r="F64" s="13" t="s">
        <v>147</v>
      </c>
      <c r="G64" s="13">
        <v>27.65</v>
      </c>
      <c r="H64" s="13">
        <v>1259</v>
      </c>
      <c r="I64" s="13">
        <v>138.36000000000001</v>
      </c>
      <c r="J64" s="13">
        <v>1</v>
      </c>
      <c r="K64" s="13">
        <v>9</v>
      </c>
      <c r="L64" s="13">
        <v>6</v>
      </c>
      <c r="M64" s="13">
        <v>149</v>
      </c>
      <c r="N64" s="13">
        <v>72</v>
      </c>
      <c r="O64" s="13">
        <v>6</v>
      </c>
      <c r="P64" s="13">
        <v>11</v>
      </c>
      <c r="Q64" s="2"/>
      <c r="R64" s="13">
        <v>91</v>
      </c>
      <c r="S64" s="13">
        <v>2</v>
      </c>
      <c r="T64" s="13">
        <v>45.5</v>
      </c>
      <c r="U64" s="13">
        <v>8.27</v>
      </c>
      <c r="V64" s="13">
        <v>33</v>
      </c>
      <c r="W64" s="13">
        <v>0</v>
      </c>
      <c r="X64" s="15">
        <v>0</v>
      </c>
      <c r="Y64" s="13">
        <v>43</v>
      </c>
      <c r="Z64" s="13">
        <v>43</v>
      </c>
      <c r="AA64" s="13">
        <v>0</v>
      </c>
      <c r="AB64" s="13">
        <v>0</v>
      </c>
      <c r="AC64" s="13">
        <v>43</v>
      </c>
      <c r="AD64" s="13">
        <v>0.48799999999999999</v>
      </c>
    </row>
    <row r="65" spans="1:30" ht="15.05" x14ac:dyDescent="0.25">
      <c r="A65" s="10" t="s">
        <v>122</v>
      </c>
      <c r="B65" s="13">
        <v>71</v>
      </c>
      <c r="C65" s="13">
        <v>22</v>
      </c>
      <c r="D65" s="13">
        <v>9</v>
      </c>
      <c r="E65" s="13">
        <v>151</v>
      </c>
      <c r="F65" s="13" t="s">
        <v>145</v>
      </c>
      <c r="G65" s="13">
        <v>11.61</v>
      </c>
      <c r="H65" s="13">
        <v>122</v>
      </c>
      <c r="I65" s="13">
        <v>123.77</v>
      </c>
      <c r="J65" s="13">
        <v>0</v>
      </c>
      <c r="K65" s="13">
        <v>0</v>
      </c>
      <c r="L65" s="13">
        <v>2</v>
      </c>
      <c r="M65" s="13">
        <v>7</v>
      </c>
      <c r="N65" s="13">
        <v>8</v>
      </c>
      <c r="O65" s="13">
        <v>69</v>
      </c>
      <c r="P65" s="13">
        <f>ROUND(238.833333333333*6,0)</f>
        <v>1433</v>
      </c>
      <c r="Q65" s="20"/>
      <c r="R65" s="13">
        <v>1817</v>
      </c>
      <c r="S65" s="13">
        <v>108</v>
      </c>
      <c r="T65" s="13">
        <v>16.82</v>
      </c>
      <c r="U65" s="13">
        <v>7.6</v>
      </c>
      <c r="V65" s="13">
        <v>13.2</v>
      </c>
      <c r="W65" s="13">
        <v>3</v>
      </c>
      <c r="X65" s="15">
        <v>1</v>
      </c>
      <c r="Y65" s="13">
        <v>33</v>
      </c>
      <c r="Z65" s="13">
        <v>33</v>
      </c>
      <c r="AA65" s="13">
        <v>0</v>
      </c>
      <c r="AB65" s="13">
        <v>0</v>
      </c>
      <c r="AC65" s="13">
        <v>33</v>
      </c>
      <c r="AD65" s="13">
        <v>0.47799999999999998</v>
      </c>
    </row>
    <row r="66" spans="1:30" ht="15.05" x14ac:dyDescent="0.25">
      <c r="A66" s="8" t="s">
        <v>44</v>
      </c>
      <c r="B66" s="22">
        <v>45</v>
      </c>
      <c r="C66" s="22">
        <v>26</v>
      </c>
      <c r="D66" s="22">
        <v>10</v>
      </c>
      <c r="E66" s="22">
        <v>271</v>
      </c>
      <c r="F66" s="22">
        <v>52</v>
      </c>
      <c r="G66" s="22">
        <v>16.93</v>
      </c>
      <c r="H66" s="22">
        <v>182</v>
      </c>
      <c r="I66" s="22">
        <v>148.9</v>
      </c>
      <c r="J66" s="22">
        <v>0</v>
      </c>
      <c r="K66" s="22">
        <v>1</v>
      </c>
      <c r="L66" s="22">
        <v>2</v>
      </c>
      <c r="M66" s="22">
        <v>19</v>
      </c>
      <c r="N66" s="22">
        <v>17</v>
      </c>
      <c r="O66" s="22">
        <v>44</v>
      </c>
      <c r="P66" s="22">
        <v>830</v>
      </c>
      <c r="Q66" s="6">
        <v>1</v>
      </c>
      <c r="R66" s="22">
        <v>1197</v>
      </c>
      <c r="S66" s="22">
        <v>48</v>
      </c>
      <c r="T66" s="22">
        <v>24.93</v>
      </c>
      <c r="U66" s="22">
        <v>8.64</v>
      </c>
      <c r="V66" s="22">
        <v>17.3</v>
      </c>
      <c r="W66" s="22">
        <v>2</v>
      </c>
      <c r="X66" s="22">
        <v>0</v>
      </c>
      <c r="Y66" s="22">
        <v>17</v>
      </c>
      <c r="Z66" s="22">
        <v>17</v>
      </c>
      <c r="AA66" s="22">
        <v>0</v>
      </c>
      <c r="AB66" s="22">
        <v>0</v>
      </c>
      <c r="AC66" s="22">
        <v>17</v>
      </c>
      <c r="AD66" s="22">
        <v>0.377</v>
      </c>
    </row>
    <row r="67" spans="1:30" ht="15.05" x14ac:dyDescent="0.25">
      <c r="A67" s="8" t="s">
        <v>33</v>
      </c>
      <c r="B67" s="22">
        <v>39</v>
      </c>
      <c r="C67" s="22">
        <v>15</v>
      </c>
      <c r="D67" s="22">
        <v>5</v>
      </c>
      <c r="E67" s="22">
        <v>109</v>
      </c>
      <c r="F67" s="22">
        <v>24</v>
      </c>
      <c r="G67" s="22">
        <v>10.9</v>
      </c>
      <c r="H67" s="22">
        <v>98</v>
      </c>
      <c r="I67" s="22">
        <v>111.22</v>
      </c>
      <c r="J67" s="22">
        <v>0</v>
      </c>
      <c r="K67" s="22">
        <v>0</v>
      </c>
      <c r="L67" s="22">
        <v>2</v>
      </c>
      <c r="M67" s="22">
        <v>10</v>
      </c>
      <c r="N67" s="22">
        <v>2</v>
      </c>
      <c r="O67" s="22">
        <v>36</v>
      </c>
      <c r="P67" s="22">
        <v>709</v>
      </c>
      <c r="Q67" s="2"/>
      <c r="R67" s="22">
        <v>1039</v>
      </c>
      <c r="S67" s="22">
        <v>41</v>
      </c>
      <c r="T67" s="22">
        <v>25.34</v>
      </c>
      <c r="U67" s="22">
        <v>8.7899999999999991</v>
      </c>
      <c r="V67" s="22">
        <v>17.2</v>
      </c>
      <c r="W67" s="22">
        <v>0</v>
      </c>
      <c r="X67" s="22">
        <v>1</v>
      </c>
      <c r="Y67" s="22">
        <v>16</v>
      </c>
      <c r="Z67" s="22">
        <v>16</v>
      </c>
      <c r="AA67" s="22">
        <v>0</v>
      </c>
      <c r="AB67" s="22">
        <v>0</v>
      </c>
      <c r="AC67" s="22">
        <v>16</v>
      </c>
      <c r="AD67" s="29">
        <v>0.42099999999999999</v>
      </c>
    </row>
    <row r="68" spans="1:30" ht="15.05" x14ac:dyDescent="0.25">
      <c r="A68" s="2" t="s">
        <v>152</v>
      </c>
      <c r="B68" s="23">
        <v>72</v>
      </c>
      <c r="C68" s="23">
        <v>70</v>
      </c>
      <c r="D68" s="23">
        <v>4</v>
      </c>
      <c r="E68" s="23">
        <v>2031</v>
      </c>
      <c r="F68" s="23">
        <v>109</v>
      </c>
      <c r="G68" s="23">
        <v>30.77</v>
      </c>
      <c r="H68" s="23">
        <v>1317</v>
      </c>
      <c r="I68" s="23">
        <v>154.21</v>
      </c>
      <c r="J68" s="23">
        <v>2</v>
      </c>
      <c r="K68" s="23">
        <v>13</v>
      </c>
      <c r="L68" s="23">
        <v>6</v>
      </c>
      <c r="M68" s="23">
        <v>189</v>
      </c>
      <c r="N68" s="23">
        <v>95</v>
      </c>
      <c r="O68" s="23">
        <v>53</v>
      </c>
      <c r="P68" s="23">
        <f>714</f>
        <v>714</v>
      </c>
      <c r="Q68" s="2"/>
      <c r="R68" s="23">
        <v>945</v>
      </c>
      <c r="S68" s="23">
        <v>37</v>
      </c>
      <c r="T68" s="23">
        <v>25.54</v>
      </c>
      <c r="U68" s="23">
        <v>7.94</v>
      </c>
      <c r="V68" s="23">
        <v>19.2</v>
      </c>
      <c r="W68" s="23">
        <v>0</v>
      </c>
      <c r="X68" s="23">
        <v>1</v>
      </c>
      <c r="Y68" s="23">
        <v>42</v>
      </c>
      <c r="Z68" s="23">
        <v>42</v>
      </c>
      <c r="AA68" s="23">
        <v>0</v>
      </c>
      <c r="AB68" s="23">
        <v>0</v>
      </c>
      <c r="AC68" s="23">
        <v>42</v>
      </c>
      <c r="AD68" s="23">
        <v>0.58299999999999996</v>
      </c>
    </row>
    <row r="69" spans="1:30" ht="15.05" x14ac:dyDescent="0.25">
      <c r="A69" s="8" t="s">
        <v>28</v>
      </c>
      <c r="B69" s="22">
        <v>86</v>
      </c>
      <c r="C69" s="22">
        <v>73</v>
      </c>
      <c r="D69" s="22">
        <v>16</v>
      </c>
      <c r="E69" s="22">
        <v>1176</v>
      </c>
      <c r="F69" s="22">
        <v>61</v>
      </c>
      <c r="G69" s="22">
        <v>20.63</v>
      </c>
      <c r="H69" s="22">
        <v>853</v>
      </c>
      <c r="I69" s="22">
        <v>137.86000000000001</v>
      </c>
      <c r="J69" s="22">
        <v>0</v>
      </c>
      <c r="K69" s="22">
        <v>5</v>
      </c>
      <c r="L69" s="22">
        <v>7</v>
      </c>
      <c r="M69" s="22">
        <v>89</v>
      </c>
      <c r="N69" s="22">
        <v>56</v>
      </c>
      <c r="O69" s="22">
        <v>75</v>
      </c>
      <c r="P69" s="22">
        <v>1310</v>
      </c>
      <c r="Q69" s="2"/>
      <c r="R69" s="22">
        <v>1876</v>
      </c>
      <c r="S69" s="22">
        <v>64</v>
      </c>
      <c r="T69" s="22">
        <v>29.31</v>
      </c>
      <c r="U69" s="22">
        <v>8.59</v>
      </c>
      <c r="V69" s="22">
        <v>20.399999999999999</v>
      </c>
      <c r="W69" s="22">
        <v>1</v>
      </c>
      <c r="X69" s="22">
        <v>0</v>
      </c>
      <c r="Y69" s="22">
        <v>48</v>
      </c>
      <c r="Z69" s="22">
        <v>48</v>
      </c>
      <c r="AA69" s="22">
        <v>0</v>
      </c>
      <c r="AB69" s="22">
        <v>0</v>
      </c>
      <c r="AC69" s="22">
        <v>48</v>
      </c>
      <c r="AD69" s="29">
        <v>0.56399999999999995</v>
      </c>
    </row>
    <row r="70" spans="1:30" ht="15.05" x14ac:dyDescent="0.25">
      <c r="A70" s="10" t="s">
        <v>89</v>
      </c>
      <c r="B70" s="24">
        <v>11</v>
      </c>
      <c r="C70" s="24">
        <v>10</v>
      </c>
      <c r="D70" s="24">
        <v>1</v>
      </c>
      <c r="E70" s="24">
        <v>210</v>
      </c>
      <c r="F70" s="24">
        <v>63</v>
      </c>
      <c r="G70" s="24">
        <v>23.33</v>
      </c>
      <c r="H70" s="24">
        <v>150</v>
      </c>
      <c r="I70" s="24">
        <v>140</v>
      </c>
      <c r="J70" s="24">
        <v>0</v>
      </c>
      <c r="K70" s="24">
        <v>2</v>
      </c>
      <c r="L70" s="24">
        <v>1</v>
      </c>
      <c r="M70" s="24">
        <v>15</v>
      </c>
      <c r="N70" s="24">
        <v>15</v>
      </c>
      <c r="O70" s="25" t="s">
        <v>189</v>
      </c>
      <c r="P70" s="25" t="s">
        <v>189</v>
      </c>
      <c r="Q70" s="2"/>
      <c r="R70" s="25" t="s">
        <v>189</v>
      </c>
      <c r="S70" s="25" t="s">
        <v>189</v>
      </c>
      <c r="T70" s="25" t="s">
        <v>189</v>
      </c>
      <c r="U70" s="25" t="s">
        <v>189</v>
      </c>
      <c r="V70" s="25" t="s">
        <v>189</v>
      </c>
      <c r="W70" s="25" t="s">
        <v>189</v>
      </c>
      <c r="X70" s="25" t="s">
        <v>189</v>
      </c>
      <c r="Y70" s="24">
        <v>3</v>
      </c>
      <c r="Z70" s="24">
        <v>3</v>
      </c>
      <c r="AA70" s="24">
        <v>0</v>
      </c>
      <c r="AB70" s="24">
        <v>0</v>
      </c>
      <c r="AC70" s="24">
        <v>3</v>
      </c>
      <c r="AD70" s="24">
        <v>0.27200000000000002</v>
      </c>
    </row>
    <row r="71" spans="1:30" ht="15.05" x14ac:dyDescent="0.25">
      <c r="A71" s="10" t="s">
        <v>133</v>
      </c>
      <c r="B71" s="13">
        <v>131</v>
      </c>
      <c r="C71" s="13">
        <v>105</v>
      </c>
      <c r="D71" s="13">
        <v>21</v>
      </c>
      <c r="E71" s="13">
        <v>1578</v>
      </c>
      <c r="F71" s="13">
        <v>60</v>
      </c>
      <c r="G71" s="13">
        <v>18.78</v>
      </c>
      <c r="H71" s="13">
        <v>1264</v>
      </c>
      <c r="I71" s="13">
        <v>124.84</v>
      </c>
      <c r="J71" s="13">
        <v>0</v>
      </c>
      <c r="K71" s="13">
        <v>4</v>
      </c>
      <c r="L71" s="13">
        <v>9</v>
      </c>
      <c r="M71" s="13">
        <v>102</v>
      </c>
      <c r="N71" s="13">
        <v>77</v>
      </c>
      <c r="O71" s="13">
        <v>114</v>
      </c>
      <c r="P71" s="13">
        <f>ROUND(330.2*6,0)</f>
        <v>1981</v>
      </c>
      <c r="Q71" s="19">
        <v>2</v>
      </c>
      <c r="R71" s="13">
        <v>2314</v>
      </c>
      <c r="S71" s="13">
        <v>87</v>
      </c>
      <c r="T71" s="13">
        <v>26.59</v>
      </c>
      <c r="U71" s="13">
        <v>7</v>
      </c>
      <c r="V71" s="13">
        <v>22.7</v>
      </c>
      <c r="W71" s="13">
        <v>0</v>
      </c>
      <c r="X71" s="14">
        <v>0</v>
      </c>
      <c r="Y71" s="13">
        <v>64</v>
      </c>
      <c r="Z71" s="13">
        <v>64</v>
      </c>
      <c r="AA71" s="13">
        <v>0</v>
      </c>
      <c r="AB71" s="13">
        <v>0</v>
      </c>
      <c r="AC71" s="13">
        <v>64</v>
      </c>
      <c r="AD71" s="13">
        <v>0.49199999999999999</v>
      </c>
    </row>
    <row r="72" spans="1:30" ht="15.05" x14ac:dyDescent="0.25">
      <c r="A72" s="10" t="s">
        <v>109</v>
      </c>
      <c r="B72" s="13">
        <v>99</v>
      </c>
      <c r="C72" s="13">
        <v>31</v>
      </c>
      <c r="D72" s="13">
        <v>14</v>
      </c>
      <c r="E72" s="13">
        <v>198</v>
      </c>
      <c r="F72" s="13">
        <v>34</v>
      </c>
      <c r="G72" s="13">
        <v>11.64</v>
      </c>
      <c r="H72" s="13">
        <v>175</v>
      </c>
      <c r="I72" s="13">
        <v>113.14</v>
      </c>
      <c r="J72" s="13">
        <v>0</v>
      </c>
      <c r="K72" s="13">
        <v>0</v>
      </c>
      <c r="L72" s="13">
        <v>3</v>
      </c>
      <c r="M72" s="13">
        <v>12</v>
      </c>
      <c r="N72" s="13">
        <v>11</v>
      </c>
      <c r="O72" s="13">
        <v>99</v>
      </c>
      <c r="P72" s="13">
        <v>369</v>
      </c>
      <c r="Q72" s="13">
        <v>6</v>
      </c>
      <c r="R72" s="13">
        <v>2587</v>
      </c>
      <c r="S72" s="13">
        <v>104</v>
      </c>
      <c r="T72" s="13">
        <v>24.87</v>
      </c>
      <c r="U72" s="13">
        <v>7.01</v>
      </c>
      <c r="V72" s="13">
        <v>21.2</v>
      </c>
      <c r="W72" s="13">
        <v>0</v>
      </c>
      <c r="X72" s="13">
        <v>0</v>
      </c>
      <c r="Y72" s="13">
        <v>15</v>
      </c>
      <c r="Z72" s="13">
        <v>15</v>
      </c>
      <c r="AA72" s="13">
        <v>0</v>
      </c>
      <c r="AB72" s="13">
        <v>0</v>
      </c>
      <c r="AC72" s="13">
        <v>15</v>
      </c>
      <c r="AD72" s="13">
        <v>0.151</v>
      </c>
    </row>
    <row r="73" spans="1:30" ht="15.05" x14ac:dyDescent="0.25">
      <c r="A73" s="10" t="s">
        <v>116</v>
      </c>
      <c r="B73" s="13">
        <v>118</v>
      </c>
      <c r="C73" s="13">
        <v>26</v>
      </c>
      <c r="D73" s="13">
        <v>17</v>
      </c>
      <c r="E73" s="13">
        <v>65</v>
      </c>
      <c r="F73" s="13" t="s">
        <v>139</v>
      </c>
      <c r="G73" s="13">
        <v>7.22</v>
      </c>
      <c r="H73" s="13">
        <v>90</v>
      </c>
      <c r="I73" s="13">
        <v>72.22</v>
      </c>
      <c r="J73" s="13">
        <v>0</v>
      </c>
      <c r="K73" s="13">
        <v>0</v>
      </c>
      <c r="L73" s="13">
        <v>2</v>
      </c>
      <c r="M73" s="13">
        <v>3</v>
      </c>
      <c r="N73" s="13">
        <v>2</v>
      </c>
      <c r="O73" s="13">
        <v>117</v>
      </c>
      <c r="P73" s="13">
        <f>ROUND(424.5*6,0)</f>
        <v>2547</v>
      </c>
      <c r="Q73" s="13">
        <v>6</v>
      </c>
      <c r="R73" s="13">
        <v>3285</v>
      </c>
      <c r="S73" s="13">
        <v>134</v>
      </c>
      <c r="T73" s="13">
        <v>24.51</v>
      </c>
      <c r="U73" s="13">
        <v>7.73</v>
      </c>
      <c r="V73" s="13">
        <v>19</v>
      </c>
      <c r="W73" s="13">
        <v>1</v>
      </c>
      <c r="X73" s="14">
        <v>1</v>
      </c>
      <c r="Y73" s="13">
        <v>23</v>
      </c>
      <c r="Z73" s="13">
        <v>23</v>
      </c>
      <c r="AA73" s="13">
        <v>0</v>
      </c>
      <c r="AB73" s="13">
        <v>0</v>
      </c>
      <c r="AC73" s="13">
        <v>23</v>
      </c>
      <c r="AD73" s="13">
        <v>0.19600000000000001</v>
      </c>
    </row>
    <row r="74" spans="1:30" ht="15.05" x14ac:dyDescent="0.25">
      <c r="A74" s="2" t="s">
        <v>186</v>
      </c>
      <c r="B74" s="23">
        <v>22</v>
      </c>
      <c r="C74" s="23">
        <v>7</v>
      </c>
      <c r="D74" s="23">
        <v>4</v>
      </c>
      <c r="E74" s="23">
        <v>4</v>
      </c>
      <c r="F74" s="23" t="s">
        <v>62</v>
      </c>
      <c r="G74" s="23">
        <v>1.33</v>
      </c>
      <c r="H74" s="23">
        <v>24</v>
      </c>
      <c r="I74" s="23">
        <v>16.66</v>
      </c>
      <c r="J74" s="23">
        <v>0</v>
      </c>
      <c r="K74" s="23">
        <v>0</v>
      </c>
      <c r="L74" s="23">
        <v>2</v>
      </c>
      <c r="M74" s="23">
        <v>0</v>
      </c>
      <c r="N74" s="23">
        <v>0</v>
      </c>
      <c r="O74" s="23">
        <v>22</v>
      </c>
      <c r="P74" s="23">
        <v>470</v>
      </c>
      <c r="Q74" s="16">
        <v>0</v>
      </c>
      <c r="R74" s="23">
        <v>684</v>
      </c>
      <c r="S74" s="23">
        <v>18</v>
      </c>
      <c r="T74" s="23">
        <v>38</v>
      </c>
      <c r="U74" s="23">
        <v>8.7100000000000009</v>
      </c>
      <c r="V74" s="23">
        <v>26.1</v>
      </c>
      <c r="W74" s="23">
        <v>1</v>
      </c>
      <c r="X74" s="23">
        <v>0</v>
      </c>
      <c r="Y74" s="23">
        <v>10</v>
      </c>
      <c r="Z74" s="23">
        <v>10</v>
      </c>
      <c r="AA74" s="23">
        <v>0</v>
      </c>
      <c r="AB74" s="23">
        <v>0</v>
      </c>
      <c r="AC74" s="23">
        <v>10</v>
      </c>
      <c r="AD74" s="23">
        <v>0.45400000000000001</v>
      </c>
    </row>
    <row r="75" spans="1:30" ht="15.05" x14ac:dyDescent="0.25">
      <c r="A75" s="8" t="s">
        <v>38</v>
      </c>
      <c r="B75" s="22">
        <v>46</v>
      </c>
      <c r="C75" s="22">
        <v>14</v>
      </c>
      <c r="D75" s="22">
        <v>5</v>
      </c>
      <c r="E75" s="22">
        <v>43</v>
      </c>
      <c r="F75" s="22">
        <v>9</v>
      </c>
      <c r="G75" s="22">
        <v>4.7699999999999996</v>
      </c>
      <c r="H75" s="22">
        <v>88</v>
      </c>
      <c r="I75" s="22">
        <v>48.86</v>
      </c>
      <c r="J75" s="22">
        <v>0</v>
      </c>
      <c r="K75" s="22">
        <v>0</v>
      </c>
      <c r="L75" s="22">
        <v>1</v>
      </c>
      <c r="M75" s="22">
        <v>2</v>
      </c>
      <c r="N75" s="22">
        <v>0</v>
      </c>
      <c r="O75" s="22">
        <v>44</v>
      </c>
      <c r="P75" s="22">
        <v>921</v>
      </c>
      <c r="Q75" s="22">
        <v>2</v>
      </c>
      <c r="R75" s="22">
        <v>1257</v>
      </c>
      <c r="S75" s="22">
        <v>50</v>
      </c>
      <c r="T75" s="22">
        <v>25.14</v>
      </c>
      <c r="U75" s="22">
        <v>8.17</v>
      </c>
      <c r="V75" s="22">
        <v>18.399999999999999</v>
      </c>
      <c r="W75" s="22">
        <v>0</v>
      </c>
      <c r="X75" s="22">
        <v>0</v>
      </c>
      <c r="Y75" s="22">
        <v>15</v>
      </c>
      <c r="Z75" s="22">
        <v>15</v>
      </c>
      <c r="AA75" s="22">
        <v>0</v>
      </c>
      <c r="AB75" s="22">
        <v>0</v>
      </c>
      <c r="AC75" s="22">
        <v>15</v>
      </c>
      <c r="AD75" s="29">
        <v>0.34</v>
      </c>
    </row>
    <row r="76" spans="1:30" ht="15.05" x14ac:dyDescent="0.25">
      <c r="A76" s="2" t="s">
        <v>183</v>
      </c>
      <c r="B76" s="23">
        <v>28</v>
      </c>
      <c r="C76" s="23">
        <v>23</v>
      </c>
      <c r="D76" s="23">
        <v>8</v>
      </c>
      <c r="E76" s="23">
        <v>177</v>
      </c>
      <c r="F76" s="23" t="s">
        <v>146</v>
      </c>
      <c r="G76" s="23">
        <v>11.8</v>
      </c>
      <c r="H76" s="23">
        <v>147</v>
      </c>
      <c r="I76" s="23">
        <v>120.4</v>
      </c>
      <c r="J76" s="23">
        <v>0</v>
      </c>
      <c r="K76" s="23">
        <v>0</v>
      </c>
      <c r="L76" s="23">
        <v>4</v>
      </c>
      <c r="M76" s="23">
        <v>19</v>
      </c>
      <c r="N76" s="23">
        <v>4</v>
      </c>
      <c r="O76" s="23">
        <v>22</v>
      </c>
      <c r="P76" s="23">
        <f>69*6</f>
        <v>414</v>
      </c>
      <c r="Q76" s="16">
        <v>1</v>
      </c>
      <c r="R76" s="23">
        <v>427</v>
      </c>
      <c r="S76" s="23">
        <v>21</v>
      </c>
      <c r="T76" s="23">
        <v>20.329999999999998</v>
      </c>
      <c r="U76" s="23">
        <v>6.18</v>
      </c>
      <c r="V76" s="23">
        <v>19.7</v>
      </c>
      <c r="W76" s="23">
        <v>0</v>
      </c>
      <c r="X76" s="23">
        <v>0</v>
      </c>
      <c r="Y76" s="23">
        <v>8</v>
      </c>
      <c r="Z76" s="23">
        <v>8</v>
      </c>
      <c r="AA76" s="23">
        <v>0</v>
      </c>
      <c r="AB76" s="23">
        <v>0</v>
      </c>
      <c r="AC76" s="23">
        <v>8</v>
      </c>
      <c r="AD76" s="23">
        <v>0.28499999999999998</v>
      </c>
    </row>
    <row r="77" spans="1:30" ht="15.05" x14ac:dyDescent="0.25">
      <c r="A77" s="2" t="s">
        <v>155</v>
      </c>
      <c r="B77" s="23">
        <v>19</v>
      </c>
      <c r="C77" s="23">
        <v>3</v>
      </c>
      <c r="D77" s="23">
        <v>1</v>
      </c>
      <c r="E77" s="23">
        <v>10</v>
      </c>
      <c r="F77" s="23">
        <v>7</v>
      </c>
      <c r="G77" s="23">
        <v>5</v>
      </c>
      <c r="H77" s="23">
        <v>12</v>
      </c>
      <c r="I77" s="23">
        <v>83.33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19</v>
      </c>
      <c r="P77" s="23">
        <v>366</v>
      </c>
      <c r="Q77" s="16">
        <v>0</v>
      </c>
      <c r="R77" s="23">
        <v>538</v>
      </c>
      <c r="S77" s="23">
        <v>20</v>
      </c>
      <c r="T77" s="23">
        <v>26.9</v>
      </c>
      <c r="U77" s="23">
        <v>8.7899999999999991</v>
      </c>
      <c r="V77" s="23">
        <v>18.3</v>
      </c>
      <c r="W77" s="23">
        <v>1</v>
      </c>
      <c r="X77" s="23">
        <v>0</v>
      </c>
      <c r="Y77" s="23">
        <v>7</v>
      </c>
      <c r="Z77" s="23">
        <v>7</v>
      </c>
      <c r="AA77" s="23">
        <v>0</v>
      </c>
      <c r="AB77" s="23">
        <v>0</v>
      </c>
      <c r="AC77" s="23">
        <v>7</v>
      </c>
      <c r="AD77" s="23">
        <v>0.36799999999999999</v>
      </c>
    </row>
    <row r="78" spans="1:30" ht="15.05" x14ac:dyDescent="0.25">
      <c r="A78" s="10" t="s">
        <v>117</v>
      </c>
      <c r="B78" s="13">
        <v>128</v>
      </c>
      <c r="C78" s="13">
        <v>45</v>
      </c>
      <c r="D78" s="13">
        <v>21</v>
      </c>
      <c r="E78" s="13">
        <v>202</v>
      </c>
      <c r="F78" s="13" t="s">
        <v>140</v>
      </c>
      <c r="G78" s="13">
        <v>8.41</v>
      </c>
      <c r="H78" s="13">
        <v>208</v>
      </c>
      <c r="I78" s="13">
        <v>97.11</v>
      </c>
      <c r="J78" s="13">
        <v>0</v>
      </c>
      <c r="K78" s="13">
        <v>0</v>
      </c>
      <c r="L78" s="13">
        <v>9</v>
      </c>
      <c r="M78" s="13">
        <v>21</v>
      </c>
      <c r="N78" s="13">
        <v>7</v>
      </c>
      <c r="O78" s="13">
        <v>126</v>
      </c>
      <c r="P78" s="13">
        <f>ROUND(447.1*6,0)</f>
        <v>2683</v>
      </c>
      <c r="Q78" s="19">
        <v>3</v>
      </c>
      <c r="R78" s="13">
        <v>3915</v>
      </c>
      <c r="S78" s="13">
        <v>158</v>
      </c>
      <c r="T78" s="13">
        <v>24.77</v>
      </c>
      <c r="U78" s="13">
        <v>8.75</v>
      </c>
      <c r="V78" s="13">
        <v>16.899999999999999</v>
      </c>
      <c r="W78" s="13">
        <v>5</v>
      </c>
      <c r="X78" s="14">
        <v>1</v>
      </c>
      <c r="Y78" s="13">
        <v>28</v>
      </c>
      <c r="Z78" s="13">
        <v>28</v>
      </c>
      <c r="AA78" s="13">
        <v>0</v>
      </c>
      <c r="AB78" s="13">
        <v>0</v>
      </c>
      <c r="AC78" s="13">
        <v>28</v>
      </c>
      <c r="AD78" s="13">
        <v>0.222</v>
      </c>
    </row>
    <row r="79" spans="1:30" ht="15.05" x14ac:dyDescent="0.25">
      <c r="A79" s="10" t="s">
        <v>76</v>
      </c>
      <c r="B79" s="24">
        <v>30</v>
      </c>
      <c r="C79" s="24">
        <v>7</v>
      </c>
      <c r="D79" s="24">
        <v>4</v>
      </c>
      <c r="E79" s="24">
        <v>41</v>
      </c>
      <c r="F79" s="24" t="s">
        <v>97</v>
      </c>
      <c r="G79" s="24">
        <v>13.66</v>
      </c>
      <c r="H79" s="24">
        <v>31</v>
      </c>
      <c r="I79" s="24">
        <v>132.25</v>
      </c>
      <c r="J79" s="24">
        <v>0</v>
      </c>
      <c r="K79" s="24">
        <v>0</v>
      </c>
      <c r="L79" s="24">
        <v>0</v>
      </c>
      <c r="M79" s="24">
        <v>4</v>
      </c>
      <c r="N79" s="24">
        <v>1</v>
      </c>
      <c r="O79" s="24">
        <v>30</v>
      </c>
      <c r="P79" s="24">
        <v>555</v>
      </c>
      <c r="Q79" s="20"/>
      <c r="R79" s="24">
        <v>714</v>
      </c>
      <c r="S79" s="24">
        <v>37</v>
      </c>
      <c r="T79" s="24">
        <v>19.29</v>
      </c>
      <c r="U79" s="24">
        <v>7.7</v>
      </c>
      <c r="V79" s="24">
        <v>15</v>
      </c>
      <c r="W79" s="24">
        <v>3</v>
      </c>
      <c r="X79" s="24">
        <v>0</v>
      </c>
      <c r="Y79" s="24">
        <v>11</v>
      </c>
      <c r="Z79" s="24">
        <v>11</v>
      </c>
      <c r="AA79" s="24">
        <v>0</v>
      </c>
      <c r="AB79" s="24">
        <v>0</v>
      </c>
      <c r="AC79" s="24">
        <v>11</v>
      </c>
      <c r="AD79" s="34">
        <f>Y79/B79</f>
        <v>0.36666666666666664</v>
      </c>
    </row>
    <row r="80" spans="1:30" ht="15.05" x14ac:dyDescent="0.25">
      <c r="A80" s="8" t="s">
        <v>41</v>
      </c>
      <c r="B80" s="22">
        <v>87</v>
      </c>
      <c r="C80" s="22">
        <v>25</v>
      </c>
      <c r="D80" s="22">
        <v>15</v>
      </c>
      <c r="E80" s="22">
        <v>69</v>
      </c>
      <c r="F80" s="22">
        <v>13</v>
      </c>
      <c r="G80" s="22">
        <v>6.9</v>
      </c>
      <c r="H80" s="22">
        <v>85</v>
      </c>
      <c r="I80" s="22">
        <v>81.17</v>
      </c>
      <c r="J80" s="22">
        <v>0</v>
      </c>
      <c r="K80" s="22">
        <v>0</v>
      </c>
      <c r="L80" s="22">
        <v>2</v>
      </c>
      <c r="M80" s="22">
        <v>5</v>
      </c>
      <c r="N80" s="22">
        <v>5</v>
      </c>
      <c r="O80" s="22">
        <v>86</v>
      </c>
      <c r="P80" s="22">
        <v>1729</v>
      </c>
      <c r="Q80" s="22">
        <v>1</v>
      </c>
      <c r="R80" s="22">
        <v>2638</v>
      </c>
      <c r="S80" s="22">
        <v>86</v>
      </c>
      <c r="T80" s="22">
        <v>30.67</v>
      </c>
      <c r="U80" s="22">
        <v>9.15</v>
      </c>
      <c r="V80" s="22">
        <v>20.100000000000001</v>
      </c>
      <c r="W80" s="22">
        <v>1</v>
      </c>
      <c r="X80" s="22">
        <v>0</v>
      </c>
      <c r="Y80" s="22">
        <v>12</v>
      </c>
      <c r="Z80" s="22">
        <v>12</v>
      </c>
      <c r="AA80" s="22">
        <v>0</v>
      </c>
      <c r="AB80" s="22">
        <v>0</v>
      </c>
      <c r="AC80" s="22">
        <v>12</v>
      </c>
      <c r="AD80" s="22">
        <v>0.13900000000000001</v>
      </c>
    </row>
    <row r="81" spans="1:30" ht="15.05" x14ac:dyDescent="0.25">
      <c r="A81" s="10" t="s">
        <v>85</v>
      </c>
      <c r="B81" s="24">
        <v>34</v>
      </c>
      <c r="C81" s="24">
        <v>32</v>
      </c>
      <c r="D81" s="24">
        <v>4</v>
      </c>
      <c r="E81" s="24">
        <v>665</v>
      </c>
      <c r="F81" s="24" t="s">
        <v>101</v>
      </c>
      <c r="G81" s="24">
        <v>23.75</v>
      </c>
      <c r="H81" s="24">
        <v>524</v>
      </c>
      <c r="I81" s="24">
        <v>126.9</v>
      </c>
      <c r="J81" s="24">
        <v>0</v>
      </c>
      <c r="K81" s="24">
        <v>4</v>
      </c>
      <c r="L81" s="24">
        <v>3</v>
      </c>
      <c r="M81" s="24">
        <v>60</v>
      </c>
      <c r="N81" s="24">
        <v>14</v>
      </c>
      <c r="O81" s="25" t="s">
        <v>189</v>
      </c>
      <c r="P81" s="25" t="s">
        <v>189</v>
      </c>
      <c r="Q81" s="2"/>
      <c r="R81" s="25" t="s">
        <v>189</v>
      </c>
      <c r="S81" s="25" t="s">
        <v>189</v>
      </c>
      <c r="T81" s="25" t="s">
        <v>189</v>
      </c>
      <c r="U81" s="25" t="s">
        <v>189</v>
      </c>
      <c r="V81" s="25" t="s">
        <v>189</v>
      </c>
      <c r="W81" s="25" t="s">
        <v>189</v>
      </c>
      <c r="X81" s="25" t="s">
        <v>189</v>
      </c>
      <c r="Y81" s="24">
        <v>20</v>
      </c>
      <c r="Z81" s="24">
        <v>17</v>
      </c>
      <c r="AA81" s="24">
        <v>3</v>
      </c>
      <c r="AB81" s="24">
        <v>8</v>
      </c>
      <c r="AC81" s="24">
        <v>9</v>
      </c>
      <c r="AD81" s="24">
        <v>0.58799999999999997</v>
      </c>
    </row>
    <row r="82" spans="1:30" ht="15.05" x14ac:dyDescent="0.25">
      <c r="A82" s="2" t="s">
        <v>170</v>
      </c>
      <c r="B82" s="23">
        <v>54</v>
      </c>
      <c r="C82" s="23">
        <v>27</v>
      </c>
      <c r="D82" s="23">
        <v>9</v>
      </c>
      <c r="E82" s="23">
        <v>104</v>
      </c>
      <c r="F82" s="23" t="s">
        <v>145</v>
      </c>
      <c r="G82" s="23">
        <v>5.77</v>
      </c>
      <c r="H82" s="23">
        <v>125</v>
      </c>
      <c r="I82" s="23">
        <v>83.2</v>
      </c>
      <c r="J82" s="23">
        <v>0</v>
      </c>
      <c r="K82" s="23">
        <v>0</v>
      </c>
      <c r="L82" s="23">
        <v>5</v>
      </c>
      <c r="M82" s="23">
        <v>6</v>
      </c>
      <c r="N82" s="23">
        <v>2</v>
      </c>
      <c r="O82" s="23">
        <v>53</v>
      </c>
      <c r="P82" s="23">
        <v>1053</v>
      </c>
      <c r="Q82" s="2"/>
      <c r="R82" s="23">
        <v>1500</v>
      </c>
      <c r="S82" s="23">
        <v>61</v>
      </c>
      <c r="T82" s="23">
        <v>24.59</v>
      </c>
      <c r="U82" s="23">
        <v>8.5399999999999991</v>
      </c>
      <c r="V82" s="23">
        <v>17.2</v>
      </c>
      <c r="W82" s="23">
        <v>3</v>
      </c>
      <c r="X82" s="23">
        <v>0</v>
      </c>
      <c r="Y82" s="23">
        <v>19</v>
      </c>
      <c r="Z82" s="23">
        <v>19</v>
      </c>
      <c r="AA82" s="23">
        <v>0</v>
      </c>
      <c r="AB82" s="23">
        <v>0</v>
      </c>
      <c r="AC82" s="23">
        <v>19</v>
      </c>
      <c r="AD82" s="23">
        <v>0.35799999999999998</v>
      </c>
    </row>
    <row r="83" spans="1:30" ht="15.05" x14ac:dyDescent="0.25">
      <c r="A83" s="2" t="s">
        <v>162</v>
      </c>
      <c r="B83" s="23">
        <v>62</v>
      </c>
      <c r="C83" s="23">
        <v>8</v>
      </c>
      <c r="D83" s="23">
        <v>3</v>
      </c>
      <c r="E83" s="23">
        <v>10</v>
      </c>
      <c r="F83" s="23">
        <v>5</v>
      </c>
      <c r="G83" s="23">
        <v>2</v>
      </c>
      <c r="H83" s="23">
        <v>22</v>
      </c>
      <c r="I83" s="23">
        <v>45.45</v>
      </c>
      <c r="J83" s="23">
        <v>0</v>
      </c>
      <c r="K83" s="23">
        <v>0</v>
      </c>
      <c r="L83" s="23">
        <v>2</v>
      </c>
      <c r="M83" s="23">
        <v>0</v>
      </c>
      <c r="N83" s="23">
        <v>0</v>
      </c>
      <c r="O83" s="23">
        <v>61</v>
      </c>
      <c r="P83" s="23">
        <f>210*6</f>
        <v>1260</v>
      </c>
      <c r="Q83" s="23">
        <v>3</v>
      </c>
      <c r="R83" s="23">
        <v>1637</v>
      </c>
      <c r="S83" s="23">
        <v>91</v>
      </c>
      <c r="T83" s="23">
        <v>17.98</v>
      </c>
      <c r="U83" s="23">
        <v>7.79</v>
      </c>
      <c r="V83" s="23">
        <v>13.8</v>
      </c>
      <c r="W83" s="23">
        <v>3</v>
      </c>
      <c r="X83" s="23">
        <v>1</v>
      </c>
      <c r="Y83" s="23">
        <v>13</v>
      </c>
      <c r="Z83" s="23">
        <v>13</v>
      </c>
      <c r="AA83" s="23">
        <v>0</v>
      </c>
      <c r="AB83" s="23">
        <v>0</v>
      </c>
      <c r="AC83" s="23">
        <v>13</v>
      </c>
      <c r="AD83" s="23">
        <v>0.21299999999999999</v>
      </c>
    </row>
    <row r="84" spans="1:30" ht="15.05" x14ac:dyDescent="0.25">
      <c r="A84" s="10" t="s">
        <v>80</v>
      </c>
      <c r="B84" s="24">
        <v>83</v>
      </c>
      <c r="C84" s="24">
        <v>81</v>
      </c>
      <c r="D84" s="24">
        <v>2</v>
      </c>
      <c r="E84" s="24">
        <v>2419</v>
      </c>
      <c r="F84" s="24">
        <v>119</v>
      </c>
      <c r="G84" s="24">
        <v>30.62</v>
      </c>
      <c r="H84" s="24">
        <v>1763</v>
      </c>
      <c r="I84" s="24">
        <v>137.19999999999999</v>
      </c>
      <c r="J84" s="24">
        <v>2</v>
      </c>
      <c r="K84" s="24">
        <v>16</v>
      </c>
      <c r="L84" s="24">
        <v>4</v>
      </c>
      <c r="M84" s="24">
        <v>259</v>
      </c>
      <c r="N84" s="20"/>
      <c r="O84" s="25" t="s">
        <v>189</v>
      </c>
      <c r="P84" s="25" t="s">
        <v>189</v>
      </c>
      <c r="Q84" s="2"/>
      <c r="R84" s="25" t="s">
        <v>189</v>
      </c>
      <c r="S84" s="25" t="s">
        <v>189</v>
      </c>
      <c r="T84" s="25" t="s">
        <v>189</v>
      </c>
      <c r="U84" s="25" t="s">
        <v>189</v>
      </c>
      <c r="V84" s="25" t="s">
        <v>189</v>
      </c>
      <c r="W84" s="25" t="s">
        <v>189</v>
      </c>
      <c r="X84" s="25" t="s">
        <v>189</v>
      </c>
      <c r="Y84" s="24">
        <v>17</v>
      </c>
      <c r="Z84" s="24">
        <v>17</v>
      </c>
      <c r="AA84" s="24">
        <v>0</v>
      </c>
      <c r="AB84" s="24">
        <v>0</v>
      </c>
      <c r="AC84" s="24">
        <v>17</v>
      </c>
      <c r="AD84" s="35">
        <v>0.20699999999999999</v>
      </c>
    </row>
    <row r="85" spans="1:30" ht="15.05" x14ac:dyDescent="0.25">
      <c r="A85" s="10" t="s">
        <v>0</v>
      </c>
      <c r="B85" s="24">
        <v>35</v>
      </c>
      <c r="C85" s="24">
        <v>35</v>
      </c>
      <c r="D85" s="24">
        <v>1</v>
      </c>
      <c r="E85" s="24">
        <v>833</v>
      </c>
      <c r="F85" s="24">
        <v>134</v>
      </c>
      <c r="G85" s="24">
        <v>24.5</v>
      </c>
      <c r="H85" s="24">
        <v>515</v>
      </c>
      <c r="I85" s="24">
        <v>161.74</v>
      </c>
      <c r="J85" s="24">
        <v>1</v>
      </c>
      <c r="K85" s="24">
        <v>3</v>
      </c>
      <c r="L85" s="24">
        <v>4</v>
      </c>
      <c r="M85" s="24">
        <v>104</v>
      </c>
      <c r="N85" s="24">
        <v>37</v>
      </c>
      <c r="O85" s="25" t="s">
        <v>189</v>
      </c>
      <c r="P85" s="25" t="s">
        <v>189</v>
      </c>
      <c r="Q85" s="2"/>
      <c r="R85" s="25" t="s">
        <v>189</v>
      </c>
      <c r="S85" s="25" t="s">
        <v>189</v>
      </c>
      <c r="T85" s="25" t="s">
        <v>189</v>
      </c>
      <c r="U85" s="25" t="s">
        <v>189</v>
      </c>
      <c r="V85" s="25" t="s">
        <v>189</v>
      </c>
      <c r="W85" s="25" t="s">
        <v>189</v>
      </c>
      <c r="X85" s="25" t="s">
        <v>189</v>
      </c>
      <c r="Y85" s="24">
        <v>9</v>
      </c>
      <c r="Z85" s="24">
        <v>9</v>
      </c>
      <c r="AA85" s="24">
        <v>0</v>
      </c>
      <c r="AB85" s="24">
        <v>0</v>
      </c>
      <c r="AC85" s="24">
        <v>9</v>
      </c>
      <c r="AD85" s="34">
        <f>Y85/B85</f>
        <v>0.25714285714285712</v>
      </c>
    </row>
    <row r="86" spans="1:30" ht="15.05" x14ac:dyDescent="0.25">
      <c r="A86" s="2" t="s">
        <v>156</v>
      </c>
      <c r="B86" s="23">
        <v>67</v>
      </c>
      <c r="C86" s="23">
        <v>28</v>
      </c>
      <c r="D86" s="23">
        <v>10</v>
      </c>
      <c r="E86" s="23">
        <v>213</v>
      </c>
      <c r="F86" s="23" t="s">
        <v>157</v>
      </c>
      <c r="G86" s="23">
        <v>11.83</v>
      </c>
      <c r="H86" s="23">
        <v>167</v>
      </c>
      <c r="I86" s="23">
        <v>127.54</v>
      </c>
      <c r="J86" s="23">
        <v>0</v>
      </c>
      <c r="K86" s="23">
        <v>0</v>
      </c>
      <c r="L86" s="23">
        <v>4</v>
      </c>
      <c r="M86" s="23">
        <v>18</v>
      </c>
      <c r="N86" s="23">
        <v>12</v>
      </c>
      <c r="O86" s="23">
        <v>66</v>
      </c>
      <c r="P86" s="23">
        <f>237.4*6</f>
        <v>1424.4</v>
      </c>
      <c r="Q86" s="16">
        <v>0</v>
      </c>
      <c r="R86" s="23">
        <v>1899</v>
      </c>
      <c r="S86" s="23">
        <v>75</v>
      </c>
      <c r="T86" s="23">
        <v>25.32</v>
      </c>
      <c r="U86" s="23">
        <v>7.99</v>
      </c>
      <c r="V86" s="23">
        <v>19</v>
      </c>
      <c r="W86" s="23">
        <v>1</v>
      </c>
      <c r="X86" s="23">
        <v>0</v>
      </c>
      <c r="Y86" s="23">
        <v>30</v>
      </c>
      <c r="Z86" s="23">
        <v>30</v>
      </c>
      <c r="AA86" s="23">
        <v>0</v>
      </c>
      <c r="AB86" s="23">
        <v>0</v>
      </c>
      <c r="AC86" s="23">
        <v>30</v>
      </c>
      <c r="AD86" s="23">
        <v>0.45400000000000001</v>
      </c>
    </row>
    <row r="87" spans="1:30" ht="15.05" x14ac:dyDescent="0.25">
      <c r="A87" s="10" t="s">
        <v>124</v>
      </c>
      <c r="B87" s="13">
        <v>98</v>
      </c>
      <c r="C87" s="13">
        <v>95</v>
      </c>
      <c r="D87" s="13">
        <v>19</v>
      </c>
      <c r="E87" s="13">
        <v>2644</v>
      </c>
      <c r="F87" s="13" t="s">
        <v>147</v>
      </c>
      <c r="G87" s="13">
        <v>34.78</v>
      </c>
      <c r="H87" s="13">
        <v>2007</v>
      </c>
      <c r="I87" s="13">
        <v>131.72999999999999</v>
      </c>
      <c r="J87" s="13">
        <v>2</v>
      </c>
      <c r="K87" s="13">
        <v>13</v>
      </c>
      <c r="L87" s="13">
        <v>4</v>
      </c>
      <c r="M87" s="13">
        <v>191</v>
      </c>
      <c r="N87" s="13">
        <v>113</v>
      </c>
      <c r="O87" s="13">
        <v>0</v>
      </c>
      <c r="P87" s="13">
        <v>0</v>
      </c>
      <c r="Q87" s="19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4">
        <v>0</v>
      </c>
      <c r="Y87" s="13">
        <v>29</v>
      </c>
      <c r="Z87" s="13">
        <v>29</v>
      </c>
      <c r="AA87" s="13">
        <v>0</v>
      </c>
      <c r="AB87" s="13">
        <v>0</v>
      </c>
      <c r="AC87" s="13">
        <v>29</v>
      </c>
      <c r="AD87" s="13">
        <v>0.29799999999999999</v>
      </c>
    </row>
    <row r="88" spans="1:30" ht="15.05" x14ac:dyDescent="0.25">
      <c r="A88" s="10" t="s">
        <v>87</v>
      </c>
      <c r="B88" s="24">
        <v>53</v>
      </c>
      <c r="C88" s="24">
        <v>14</v>
      </c>
      <c r="D88" s="24">
        <v>9</v>
      </c>
      <c r="E88" s="24">
        <v>14</v>
      </c>
      <c r="F88" s="24">
        <v>3</v>
      </c>
      <c r="G88" s="24">
        <v>2.8</v>
      </c>
      <c r="H88" s="24">
        <v>32</v>
      </c>
      <c r="I88" s="24">
        <v>43.75</v>
      </c>
      <c r="J88" s="24">
        <v>0</v>
      </c>
      <c r="K88" s="24">
        <v>0</v>
      </c>
      <c r="L88" s="24">
        <v>1</v>
      </c>
      <c r="M88" s="24">
        <v>0</v>
      </c>
      <c r="N88" s="24">
        <v>0</v>
      </c>
      <c r="O88" s="24">
        <v>52</v>
      </c>
      <c r="P88" s="24">
        <v>1045</v>
      </c>
      <c r="Q88" s="2"/>
      <c r="R88" s="24">
        <v>1421</v>
      </c>
      <c r="S88" s="24">
        <v>63</v>
      </c>
      <c r="T88" s="24">
        <v>22.55</v>
      </c>
      <c r="U88" s="24">
        <v>8.15</v>
      </c>
      <c r="V88" s="24">
        <v>16.5</v>
      </c>
      <c r="W88" s="24">
        <v>0</v>
      </c>
      <c r="X88" s="24">
        <v>0</v>
      </c>
      <c r="Y88" s="24">
        <v>8</v>
      </c>
      <c r="Z88" s="24">
        <v>8</v>
      </c>
      <c r="AA88" s="24">
        <v>0</v>
      </c>
      <c r="AB88" s="24">
        <v>0</v>
      </c>
      <c r="AC88" s="24">
        <v>8</v>
      </c>
      <c r="AD88" s="24">
        <v>0.153</v>
      </c>
    </row>
    <row r="89" spans="1:30" ht="15.05" x14ac:dyDescent="0.25">
      <c r="A89" s="10" t="s">
        <v>113</v>
      </c>
      <c r="B89" s="13">
        <v>149</v>
      </c>
      <c r="C89" s="13">
        <v>143</v>
      </c>
      <c r="D89" s="13">
        <v>13</v>
      </c>
      <c r="E89" s="13">
        <v>3625</v>
      </c>
      <c r="F89" s="13">
        <v>121</v>
      </c>
      <c r="G89" s="13">
        <v>27.88</v>
      </c>
      <c r="H89" s="13">
        <v>2323</v>
      </c>
      <c r="I89" s="13">
        <v>156.04</v>
      </c>
      <c r="J89" s="13">
        <v>6</v>
      </c>
      <c r="K89" s="13">
        <v>19</v>
      </c>
      <c r="L89" s="13">
        <v>16</v>
      </c>
      <c r="M89" s="13">
        <v>343</v>
      </c>
      <c r="N89" s="13">
        <v>197</v>
      </c>
      <c r="O89" s="13">
        <v>1</v>
      </c>
      <c r="P89" s="13">
        <v>1</v>
      </c>
      <c r="Q89" s="20"/>
      <c r="R89" s="13">
        <v>3</v>
      </c>
      <c r="S89" s="13">
        <v>1</v>
      </c>
      <c r="T89" s="13">
        <v>3</v>
      </c>
      <c r="U89" s="13">
        <v>3</v>
      </c>
      <c r="V89" s="13">
        <v>6</v>
      </c>
      <c r="W89" s="13">
        <v>0</v>
      </c>
      <c r="X89" s="13">
        <v>0</v>
      </c>
      <c r="Y89" s="13">
        <v>61</v>
      </c>
      <c r="Z89" s="13">
        <v>61</v>
      </c>
      <c r="AA89" s="13">
        <v>0</v>
      </c>
      <c r="AB89" s="13">
        <v>0</v>
      </c>
      <c r="AC89" s="13">
        <v>61</v>
      </c>
      <c r="AD89" s="13">
        <v>0.41399999999999998</v>
      </c>
    </row>
    <row r="90" spans="1:30" ht="15.05" x14ac:dyDescent="0.25">
      <c r="A90" s="8" t="s">
        <v>31</v>
      </c>
      <c r="B90" s="22">
        <v>75</v>
      </c>
      <c r="C90" s="22">
        <v>13</v>
      </c>
      <c r="D90" s="22">
        <v>9</v>
      </c>
      <c r="E90" s="22">
        <v>25</v>
      </c>
      <c r="F90" s="22" t="s">
        <v>56</v>
      </c>
      <c r="G90" s="22">
        <v>6.25</v>
      </c>
      <c r="H90" s="22">
        <v>25</v>
      </c>
      <c r="I90" s="22">
        <v>100</v>
      </c>
      <c r="J90" s="22">
        <v>0</v>
      </c>
      <c r="K90" s="22">
        <v>0</v>
      </c>
      <c r="L90" s="22">
        <v>3</v>
      </c>
      <c r="M90" s="22">
        <v>3</v>
      </c>
      <c r="N90" s="22">
        <v>1</v>
      </c>
      <c r="O90" s="22">
        <v>75</v>
      </c>
      <c r="P90" s="22">
        <v>1647</v>
      </c>
      <c r="Q90" s="20"/>
      <c r="R90" s="22">
        <v>2322</v>
      </c>
      <c r="S90" s="22">
        <v>110</v>
      </c>
      <c r="T90" s="22">
        <v>21.1</v>
      </c>
      <c r="U90" s="22">
        <v>8.4499999999999993</v>
      </c>
      <c r="V90" s="22">
        <v>14.9</v>
      </c>
      <c r="W90" s="22">
        <v>4</v>
      </c>
      <c r="X90" s="22">
        <v>0</v>
      </c>
      <c r="Y90" s="22">
        <v>16</v>
      </c>
      <c r="Z90" s="22">
        <v>16</v>
      </c>
      <c r="AA90" s="22">
        <v>0</v>
      </c>
      <c r="AB90" s="22">
        <v>0</v>
      </c>
      <c r="AC90" s="22">
        <v>16</v>
      </c>
      <c r="AD90" s="30">
        <v>0.21299999999999999</v>
      </c>
    </row>
    <row r="91" spans="1:30" ht="15.05" x14ac:dyDescent="0.25">
      <c r="A91" s="10" t="s">
        <v>75</v>
      </c>
      <c r="B91" s="24">
        <v>77</v>
      </c>
      <c r="C91" s="24">
        <v>41</v>
      </c>
      <c r="D91" s="24">
        <v>13</v>
      </c>
      <c r="E91" s="24">
        <v>319</v>
      </c>
      <c r="F91" s="24">
        <v>53</v>
      </c>
      <c r="G91" s="24">
        <v>11.39</v>
      </c>
      <c r="H91" s="24">
        <v>236</v>
      </c>
      <c r="I91" s="24">
        <v>135.16</v>
      </c>
      <c r="J91" s="24">
        <v>0</v>
      </c>
      <c r="K91" s="24">
        <v>1</v>
      </c>
      <c r="L91" s="24">
        <v>4</v>
      </c>
      <c r="M91" s="24">
        <v>23</v>
      </c>
      <c r="N91" s="24">
        <v>21</v>
      </c>
      <c r="O91" s="24">
        <v>73</v>
      </c>
      <c r="P91" s="24">
        <v>1435</v>
      </c>
      <c r="Q91" s="20"/>
      <c r="R91" s="24">
        <v>1960</v>
      </c>
      <c r="S91" s="24">
        <v>93</v>
      </c>
      <c r="T91" s="24">
        <v>21.07</v>
      </c>
      <c r="U91" s="24">
        <v>8.18</v>
      </c>
      <c r="V91" s="24">
        <v>15.4</v>
      </c>
      <c r="W91" s="24">
        <v>1</v>
      </c>
      <c r="X91" s="24">
        <v>0</v>
      </c>
      <c r="Y91" s="24">
        <v>38</v>
      </c>
      <c r="Z91" s="24">
        <v>38</v>
      </c>
      <c r="AA91" s="24">
        <v>0</v>
      </c>
      <c r="AB91" s="24">
        <v>0</v>
      </c>
      <c r="AC91" s="24">
        <v>38</v>
      </c>
      <c r="AD91" s="34">
        <f>Y91/B91</f>
        <v>0.4935064935064935</v>
      </c>
    </row>
    <row r="92" spans="1:30" ht="15.05" x14ac:dyDescent="0.25">
      <c r="A92" s="2" t="s">
        <v>180</v>
      </c>
      <c r="B92" s="16">
        <v>76</v>
      </c>
      <c r="C92" s="16">
        <v>61</v>
      </c>
      <c r="D92" s="16">
        <v>12</v>
      </c>
      <c r="E92" s="16">
        <v>1065</v>
      </c>
      <c r="F92" s="16">
        <v>74</v>
      </c>
      <c r="G92" s="16">
        <v>21.73</v>
      </c>
      <c r="H92" s="16">
        <v>870</v>
      </c>
      <c r="I92" s="16">
        <v>122.41</v>
      </c>
      <c r="J92" s="16">
        <v>0</v>
      </c>
      <c r="K92" s="16">
        <v>5</v>
      </c>
      <c r="L92" s="16">
        <v>6</v>
      </c>
      <c r="M92" s="16">
        <v>99</v>
      </c>
      <c r="N92" s="16">
        <v>32</v>
      </c>
      <c r="O92" s="16">
        <v>63</v>
      </c>
      <c r="P92" s="16">
        <f>180*6</f>
        <v>1080</v>
      </c>
      <c r="Q92" s="16">
        <v>2</v>
      </c>
      <c r="R92" s="16">
        <v>1322</v>
      </c>
      <c r="S92" s="16">
        <v>48</v>
      </c>
      <c r="T92" s="16">
        <v>27.54</v>
      </c>
      <c r="U92" s="16">
        <v>7.31</v>
      </c>
      <c r="V92" s="16">
        <v>22.6</v>
      </c>
      <c r="W92" s="16">
        <v>0</v>
      </c>
      <c r="X92" s="16">
        <v>0</v>
      </c>
      <c r="Y92" s="16">
        <v>22</v>
      </c>
      <c r="Z92" s="16">
        <v>22</v>
      </c>
      <c r="AA92" s="16">
        <v>0</v>
      </c>
      <c r="AB92" s="16">
        <v>0</v>
      </c>
      <c r="AC92" s="16">
        <v>22</v>
      </c>
      <c r="AD92" s="16">
        <v>0.29699999999999999</v>
      </c>
    </row>
    <row r="93" spans="1:30" ht="15.05" x14ac:dyDescent="0.25">
      <c r="A93" s="10" t="s">
        <v>131</v>
      </c>
      <c r="B93" s="19">
        <v>169</v>
      </c>
      <c r="C93" s="19">
        <v>158</v>
      </c>
      <c r="D93" s="19">
        <v>28</v>
      </c>
      <c r="E93" s="19">
        <v>3086</v>
      </c>
      <c r="F93" s="19">
        <v>106</v>
      </c>
      <c r="G93" s="19">
        <v>23.73</v>
      </c>
      <c r="H93" s="19">
        <v>2257</v>
      </c>
      <c r="I93" s="19">
        <v>136.72999999999999</v>
      </c>
      <c r="J93" s="19">
        <v>1</v>
      </c>
      <c r="K93" s="19">
        <v>11</v>
      </c>
      <c r="L93" s="19">
        <v>9</v>
      </c>
      <c r="M93" s="19">
        <v>273</v>
      </c>
      <c r="N93" s="19">
        <v>106</v>
      </c>
      <c r="O93" s="19">
        <v>0</v>
      </c>
      <c r="P93" s="19">
        <v>0</v>
      </c>
      <c r="Q93" s="2"/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26">
        <v>0</v>
      </c>
      <c r="Y93" s="19">
        <v>129</v>
      </c>
      <c r="Z93" s="19">
        <v>118</v>
      </c>
      <c r="AA93" s="19">
        <v>11</v>
      </c>
      <c r="AB93" s="19">
        <v>100</v>
      </c>
      <c r="AC93" s="19">
        <v>18</v>
      </c>
      <c r="AD93" s="19">
        <v>0.78100000000000003</v>
      </c>
    </row>
    <row r="94" spans="1:30" ht="15.05" x14ac:dyDescent="0.25">
      <c r="A94" s="2" t="s">
        <v>164</v>
      </c>
      <c r="B94" s="16">
        <v>8</v>
      </c>
      <c r="C94" s="16">
        <v>2</v>
      </c>
      <c r="D94" s="16">
        <v>1</v>
      </c>
      <c r="E94" s="16">
        <v>4</v>
      </c>
      <c r="F94" s="16">
        <v>4</v>
      </c>
      <c r="G94" s="16">
        <v>4</v>
      </c>
      <c r="H94" s="16">
        <v>6</v>
      </c>
      <c r="I94" s="16">
        <v>66.66</v>
      </c>
      <c r="J94" s="16">
        <v>0</v>
      </c>
      <c r="K94" s="16">
        <v>0</v>
      </c>
      <c r="L94" s="16">
        <v>0</v>
      </c>
      <c r="M94" s="16">
        <v>1</v>
      </c>
      <c r="N94" s="16">
        <v>0</v>
      </c>
      <c r="O94" s="16">
        <v>8</v>
      </c>
      <c r="P94" s="16">
        <f>31*6</f>
        <v>186</v>
      </c>
      <c r="Q94" s="16">
        <v>0</v>
      </c>
      <c r="R94" s="16">
        <v>257</v>
      </c>
      <c r="S94" s="16">
        <v>14</v>
      </c>
      <c r="T94" s="16">
        <v>18.350000000000001</v>
      </c>
      <c r="U94" s="16">
        <v>8.2899999999999991</v>
      </c>
      <c r="V94" s="16">
        <v>13.2</v>
      </c>
      <c r="W94" s="16">
        <v>1</v>
      </c>
      <c r="X94" s="16">
        <v>0</v>
      </c>
      <c r="Y94" s="16">
        <v>3</v>
      </c>
      <c r="Z94" s="16">
        <v>3</v>
      </c>
      <c r="AA94" s="16">
        <v>0</v>
      </c>
      <c r="AB94" s="16">
        <v>0</v>
      </c>
      <c r="AC94" s="16">
        <v>3</v>
      </c>
      <c r="AD94" s="16">
        <v>0.375</v>
      </c>
    </row>
    <row r="95" spans="1:30" ht="15.05" x14ac:dyDescent="0.25">
      <c r="A95" s="2" t="s">
        <v>151</v>
      </c>
      <c r="B95" s="16">
        <v>28</v>
      </c>
      <c r="C95" s="16">
        <v>23</v>
      </c>
      <c r="D95" s="16">
        <v>6</v>
      </c>
      <c r="E95" s="16">
        <v>407</v>
      </c>
      <c r="F95" s="16">
        <v>37</v>
      </c>
      <c r="G95" s="16">
        <v>23.94</v>
      </c>
      <c r="H95" s="16">
        <v>345</v>
      </c>
      <c r="I95" s="16">
        <v>117.97</v>
      </c>
      <c r="J95" s="16">
        <v>0</v>
      </c>
      <c r="K95" s="16">
        <v>0</v>
      </c>
      <c r="L95" s="16">
        <v>1</v>
      </c>
      <c r="M95" s="16">
        <v>39</v>
      </c>
      <c r="N95" s="16">
        <v>9</v>
      </c>
      <c r="O95" s="16"/>
      <c r="P95" s="2"/>
      <c r="Q95" s="2"/>
      <c r="R95" s="2"/>
      <c r="S95" s="2"/>
      <c r="T95" s="2"/>
      <c r="U95" s="2"/>
      <c r="V95" s="2"/>
      <c r="W95" s="2"/>
      <c r="X95" s="2"/>
      <c r="Y95" s="16">
        <v>12</v>
      </c>
      <c r="Z95" s="16">
        <v>12</v>
      </c>
      <c r="AA95" s="16">
        <v>0</v>
      </c>
      <c r="AB95" s="16">
        <v>4</v>
      </c>
      <c r="AC95" s="16">
        <v>8</v>
      </c>
      <c r="AD95" s="16">
        <v>0.42799999999999999</v>
      </c>
    </row>
    <row r="96" spans="1:30" ht="15.05" x14ac:dyDescent="0.25">
      <c r="A96" s="10" t="s">
        <v>125</v>
      </c>
      <c r="B96" s="19">
        <v>88</v>
      </c>
      <c r="C96" s="19">
        <v>47</v>
      </c>
      <c r="D96" s="19">
        <v>16</v>
      </c>
      <c r="E96" s="19">
        <v>390</v>
      </c>
      <c r="F96" s="19" t="s">
        <v>148</v>
      </c>
      <c r="G96" s="19">
        <v>12.58</v>
      </c>
      <c r="H96" s="19">
        <v>294</v>
      </c>
      <c r="I96" s="19">
        <v>132.65</v>
      </c>
      <c r="J96" s="19">
        <v>1</v>
      </c>
      <c r="K96" s="19">
        <v>0</v>
      </c>
      <c r="L96" s="19">
        <v>4</v>
      </c>
      <c r="M96" s="19">
        <v>18</v>
      </c>
      <c r="N96" s="19">
        <v>20</v>
      </c>
      <c r="O96" s="19">
        <v>87</v>
      </c>
      <c r="P96" s="19">
        <f>ROUND(289.666666666667,0)</f>
        <v>290</v>
      </c>
      <c r="Q96" s="2"/>
      <c r="R96" s="19">
        <v>2557</v>
      </c>
      <c r="S96" s="19">
        <v>123</v>
      </c>
      <c r="T96" s="19">
        <v>20.78</v>
      </c>
      <c r="U96" s="19">
        <v>8.82</v>
      </c>
      <c r="V96" s="19">
        <v>14.1</v>
      </c>
      <c r="W96" s="19">
        <v>7</v>
      </c>
      <c r="X96" s="26">
        <v>1</v>
      </c>
      <c r="Y96" s="19">
        <v>40</v>
      </c>
      <c r="Z96" s="19">
        <v>40</v>
      </c>
      <c r="AA96" s="19">
        <v>0</v>
      </c>
      <c r="AB96" s="19">
        <v>0</v>
      </c>
      <c r="AC96" s="19">
        <v>40</v>
      </c>
      <c r="AD96" s="19">
        <v>0.45900000000000002</v>
      </c>
    </row>
    <row r="97" spans="1:30" ht="15.05" x14ac:dyDescent="0.25">
      <c r="A97" s="10" t="s">
        <v>78</v>
      </c>
      <c r="B97" s="35">
        <v>60</v>
      </c>
      <c r="C97" s="35">
        <v>60</v>
      </c>
      <c r="D97" s="35">
        <v>5</v>
      </c>
      <c r="E97" s="35">
        <v>2120</v>
      </c>
      <c r="F97" s="35" t="s">
        <v>98</v>
      </c>
      <c r="G97" s="35">
        <v>38.54</v>
      </c>
      <c r="H97" s="35">
        <v>1541</v>
      </c>
      <c r="I97" s="35">
        <v>137.57</v>
      </c>
      <c r="J97" s="35">
        <v>0</v>
      </c>
      <c r="K97" s="35">
        <v>19</v>
      </c>
      <c r="L97" s="35">
        <v>3</v>
      </c>
      <c r="M97" s="35">
        <v>162</v>
      </c>
      <c r="N97" s="35">
        <v>116</v>
      </c>
      <c r="O97" s="36" t="s">
        <v>189</v>
      </c>
      <c r="P97" s="36" t="s">
        <v>189</v>
      </c>
      <c r="Q97" s="2"/>
      <c r="R97" s="36" t="s">
        <v>189</v>
      </c>
      <c r="S97" s="36" t="s">
        <v>189</v>
      </c>
      <c r="T97" s="36" t="s">
        <v>189</v>
      </c>
      <c r="U97" s="36" t="s">
        <v>189</v>
      </c>
      <c r="V97" s="36" t="s">
        <v>189</v>
      </c>
      <c r="W97" s="36" t="s">
        <v>189</v>
      </c>
      <c r="X97" s="36" t="s">
        <v>189</v>
      </c>
      <c r="Y97" s="35">
        <v>22</v>
      </c>
      <c r="Z97" s="35">
        <v>22</v>
      </c>
      <c r="AA97" s="35">
        <v>0</v>
      </c>
      <c r="AB97" s="35">
        <v>0</v>
      </c>
      <c r="AC97" s="35">
        <v>22</v>
      </c>
      <c r="AD97" s="35">
        <v>0.36599999999999999</v>
      </c>
    </row>
    <row r="98" spans="1:30" ht="15.05" x14ac:dyDescent="0.25">
      <c r="A98" s="8" t="s">
        <v>36</v>
      </c>
      <c r="B98" s="6">
        <v>124</v>
      </c>
      <c r="C98" s="6">
        <v>123</v>
      </c>
      <c r="D98" s="6">
        <v>18</v>
      </c>
      <c r="E98" s="6">
        <v>3720</v>
      </c>
      <c r="F98" s="6">
        <v>106</v>
      </c>
      <c r="G98" s="6">
        <v>35.42</v>
      </c>
      <c r="H98" s="6">
        <v>2806</v>
      </c>
      <c r="I98" s="6">
        <v>132.57</v>
      </c>
      <c r="J98" s="6">
        <v>3</v>
      </c>
      <c r="K98" s="6">
        <v>20</v>
      </c>
      <c r="L98" s="6">
        <v>3</v>
      </c>
      <c r="M98" s="6">
        <v>273</v>
      </c>
      <c r="N98" s="6">
        <v>172</v>
      </c>
      <c r="O98" s="6"/>
      <c r="P98" s="2"/>
      <c r="Q98" s="2"/>
      <c r="R98" s="2"/>
      <c r="S98" s="2"/>
      <c r="T98" s="2"/>
      <c r="U98" s="2"/>
      <c r="V98" s="2"/>
      <c r="W98" s="2"/>
      <c r="X98" s="2"/>
      <c r="Y98" s="6">
        <v>70</v>
      </c>
      <c r="Z98" s="6">
        <v>63</v>
      </c>
      <c r="AA98" s="6">
        <v>7</v>
      </c>
      <c r="AB98" s="6">
        <v>42</v>
      </c>
      <c r="AC98" s="6">
        <v>21</v>
      </c>
      <c r="AD98" s="30">
        <v>0.57299999999999995</v>
      </c>
    </row>
    <row r="99" spans="1:30" ht="15.05" x14ac:dyDescent="0.25">
      <c r="A99" s="8" t="s">
        <v>49</v>
      </c>
      <c r="B99" s="6">
        <v>86</v>
      </c>
      <c r="C99" s="6">
        <v>78</v>
      </c>
      <c r="D99" s="6">
        <v>12</v>
      </c>
      <c r="E99" s="6">
        <v>1571</v>
      </c>
      <c r="F99" s="6" t="s">
        <v>63</v>
      </c>
      <c r="G99" s="6">
        <v>23.8</v>
      </c>
      <c r="H99" s="6">
        <v>1132</v>
      </c>
      <c r="I99" s="6">
        <v>138.78</v>
      </c>
      <c r="J99" s="6">
        <v>0</v>
      </c>
      <c r="K99" s="6">
        <v>10</v>
      </c>
      <c r="L99" s="6">
        <v>7</v>
      </c>
      <c r="M99" s="6">
        <v>152</v>
      </c>
      <c r="N99" s="6">
        <v>62</v>
      </c>
      <c r="O99" s="6">
        <v>84</v>
      </c>
      <c r="P99" s="6">
        <v>1658</v>
      </c>
      <c r="Q99" s="6">
        <v>4</v>
      </c>
      <c r="R99" s="6">
        <v>1917</v>
      </c>
      <c r="S99" s="6">
        <v>77</v>
      </c>
      <c r="T99" s="6">
        <v>24.89</v>
      </c>
      <c r="U99" s="6">
        <v>6.93</v>
      </c>
      <c r="V99" s="6">
        <v>21.5</v>
      </c>
      <c r="W99" s="6">
        <v>2</v>
      </c>
      <c r="X99" s="6">
        <v>1</v>
      </c>
      <c r="Y99" s="6">
        <v>16</v>
      </c>
      <c r="Z99" s="6">
        <v>16</v>
      </c>
      <c r="AA99" s="6">
        <v>0</v>
      </c>
      <c r="AB99" s="6">
        <v>0</v>
      </c>
      <c r="AC99" s="6">
        <v>16</v>
      </c>
      <c r="AD99" s="6">
        <v>0.188</v>
      </c>
    </row>
    <row r="100" spans="1:30" ht="15.05" x14ac:dyDescent="0.25">
      <c r="A100" s="2" t="s">
        <v>1</v>
      </c>
      <c r="B100" s="16">
        <v>28</v>
      </c>
      <c r="C100" s="16">
        <v>13</v>
      </c>
      <c r="D100" s="16">
        <v>4</v>
      </c>
      <c r="E100" s="16">
        <v>104</v>
      </c>
      <c r="F100" s="16" t="s">
        <v>57</v>
      </c>
      <c r="G100" s="16">
        <v>11.55</v>
      </c>
      <c r="H100" s="16">
        <v>68</v>
      </c>
      <c r="I100" s="16">
        <v>152.94</v>
      </c>
      <c r="J100" s="16">
        <v>0</v>
      </c>
      <c r="K100" s="16">
        <v>0</v>
      </c>
      <c r="L100" s="16">
        <v>2</v>
      </c>
      <c r="M100" s="16">
        <v>6</v>
      </c>
      <c r="N100" s="16">
        <v>8</v>
      </c>
      <c r="O100" s="16">
        <v>28</v>
      </c>
      <c r="P100" s="16">
        <f>91.5*6</f>
        <v>549</v>
      </c>
      <c r="Q100" s="16">
        <v>4</v>
      </c>
      <c r="R100" s="16">
        <v>760</v>
      </c>
      <c r="S100" s="16">
        <v>26</v>
      </c>
      <c r="T100" s="16">
        <v>29.23</v>
      </c>
      <c r="U100" s="16">
        <v>8.27</v>
      </c>
      <c r="V100" s="16">
        <v>21.1</v>
      </c>
      <c r="W100" s="16">
        <v>2</v>
      </c>
      <c r="X100" s="16">
        <v>0</v>
      </c>
      <c r="Y100" s="16">
        <v>11</v>
      </c>
      <c r="Z100" s="16">
        <v>11</v>
      </c>
      <c r="AA100" s="16">
        <v>0</v>
      </c>
      <c r="AB100" s="16">
        <v>0</v>
      </c>
      <c r="AC100" s="16">
        <v>11</v>
      </c>
      <c r="AD100" s="16">
        <v>0.39200000000000002</v>
      </c>
    </row>
    <row r="101" spans="1:30" ht="15.05" x14ac:dyDescent="0.25">
      <c r="A101" s="2" t="s">
        <v>177</v>
      </c>
      <c r="B101" s="16">
        <v>58</v>
      </c>
      <c r="C101" s="16">
        <v>27</v>
      </c>
      <c r="D101" s="16">
        <v>10</v>
      </c>
      <c r="E101" s="16">
        <v>67</v>
      </c>
      <c r="F101" s="16">
        <v>11</v>
      </c>
      <c r="G101" s="16">
        <v>3.94</v>
      </c>
      <c r="H101" s="16">
        <v>83</v>
      </c>
      <c r="I101" s="16">
        <v>80.72</v>
      </c>
      <c r="J101" s="16">
        <v>0</v>
      </c>
      <c r="K101" s="16">
        <v>0</v>
      </c>
      <c r="L101" s="16">
        <v>6</v>
      </c>
      <c r="M101" s="16">
        <v>6</v>
      </c>
      <c r="N101" s="16">
        <v>2</v>
      </c>
      <c r="O101" s="16">
        <v>56</v>
      </c>
      <c r="P101" s="16">
        <v>1200</v>
      </c>
      <c r="Q101" s="16">
        <v>3</v>
      </c>
      <c r="R101" s="16">
        <v>1724</v>
      </c>
      <c r="S101" s="16">
        <v>68</v>
      </c>
      <c r="T101" s="16">
        <v>25.35</v>
      </c>
      <c r="U101" s="16">
        <v>8.69</v>
      </c>
      <c r="V101" s="16">
        <v>17.5</v>
      </c>
      <c r="W101" s="16">
        <v>3</v>
      </c>
      <c r="X101" s="16">
        <v>0</v>
      </c>
      <c r="Y101" s="16">
        <v>11</v>
      </c>
      <c r="Z101" s="16">
        <v>11</v>
      </c>
      <c r="AA101" s="16">
        <v>0</v>
      </c>
      <c r="AB101" s="16">
        <v>0</v>
      </c>
      <c r="AC101" s="16">
        <v>11</v>
      </c>
      <c r="AD101" s="16">
        <v>0.192</v>
      </c>
    </row>
    <row r="102" spans="1:30" ht="15.05" x14ac:dyDescent="0.25">
      <c r="A102" s="8" t="s">
        <v>39</v>
      </c>
      <c r="B102" s="6">
        <v>173</v>
      </c>
      <c r="C102" s="6">
        <v>161</v>
      </c>
      <c r="D102" s="6">
        <v>29</v>
      </c>
      <c r="E102" s="6">
        <v>3558</v>
      </c>
      <c r="F102" s="6" t="s">
        <v>59</v>
      </c>
      <c r="G102" s="6">
        <v>26.95</v>
      </c>
      <c r="H102" s="6">
        <v>2507</v>
      </c>
      <c r="I102" s="6">
        <v>141.91999999999999</v>
      </c>
      <c r="J102" s="6">
        <v>1</v>
      </c>
      <c r="K102" s="6">
        <v>17</v>
      </c>
      <c r="L102" s="6">
        <v>12</v>
      </c>
      <c r="M102" s="6">
        <v>267</v>
      </c>
      <c r="N102" s="6">
        <v>179</v>
      </c>
      <c r="O102" s="6">
        <v>157</v>
      </c>
      <c r="P102" s="6">
        <v>2784</v>
      </c>
      <c r="Q102" s="2"/>
      <c r="R102" s="6">
        <v>3428</v>
      </c>
      <c r="S102" s="6">
        <v>136</v>
      </c>
      <c r="T102" s="6">
        <v>25.2</v>
      </c>
      <c r="U102" s="6">
        <v>7.38</v>
      </c>
      <c r="V102" s="6">
        <v>20.399999999999999</v>
      </c>
      <c r="W102" s="6">
        <v>1</v>
      </c>
      <c r="X102" s="6">
        <v>1</v>
      </c>
      <c r="Y102" s="6">
        <v>73</v>
      </c>
      <c r="Z102" s="6">
        <v>73</v>
      </c>
      <c r="AA102" s="6">
        <v>0</v>
      </c>
      <c r="AB102" s="6">
        <v>0</v>
      </c>
      <c r="AC102" s="6">
        <v>73</v>
      </c>
      <c r="AD102" s="6">
        <v>0.42899999999999999</v>
      </c>
    </row>
    <row r="103" spans="1:30" ht="15.05" x14ac:dyDescent="0.25">
      <c r="A103" s="10" t="s">
        <v>118</v>
      </c>
      <c r="B103" s="19">
        <v>125</v>
      </c>
      <c r="C103" s="19">
        <v>29</v>
      </c>
      <c r="D103" s="19">
        <v>21</v>
      </c>
      <c r="E103" s="19">
        <v>29</v>
      </c>
      <c r="F103" s="19" t="s">
        <v>141</v>
      </c>
      <c r="G103" s="19">
        <v>3.62</v>
      </c>
      <c r="H103" s="19">
        <v>53</v>
      </c>
      <c r="I103" s="19">
        <v>54.71</v>
      </c>
      <c r="J103" s="19">
        <v>0</v>
      </c>
      <c r="K103" s="19">
        <v>0</v>
      </c>
      <c r="L103" s="19">
        <v>8</v>
      </c>
      <c r="M103" s="19">
        <v>2</v>
      </c>
      <c r="N103" s="19">
        <v>0</v>
      </c>
      <c r="O103" s="19">
        <v>121</v>
      </c>
      <c r="P103" s="19">
        <f>ROUND(403.166666666667*6,0)</f>
        <v>2419</v>
      </c>
      <c r="Q103" s="2"/>
      <c r="R103" s="19">
        <v>3197</v>
      </c>
      <c r="S103" s="19">
        <v>140</v>
      </c>
      <c r="T103" s="19">
        <v>22.83</v>
      </c>
      <c r="U103" s="19">
        <v>7.92</v>
      </c>
      <c r="V103" s="19">
        <v>17.2</v>
      </c>
      <c r="W103" s="19">
        <v>4</v>
      </c>
      <c r="X103" s="26">
        <v>1</v>
      </c>
      <c r="Y103" s="19">
        <v>14</v>
      </c>
      <c r="Z103" s="19">
        <v>14</v>
      </c>
      <c r="AA103" s="19">
        <v>0</v>
      </c>
      <c r="AB103" s="19">
        <v>0</v>
      </c>
      <c r="AC103" s="19">
        <v>14</v>
      </c>
      <c r="AD103" s="19">
        <v>0.115</v>
      </c>
    </row>
    <row r="104" spans="1:30" ht="15.05" x14ac:dyDescent="0.25">
      <c r="A104" s="10" t="s">
        <v>77</v>
      </c>
      <c r="B104" s="35">
        <v>31</v>
      </c>
      <c r="C104" s="35">
        <v>8</v>
      </c>
      <c r="D104" s="35">
        <v>5</v>
      </c>
      <c r="E104" s="35">
        <v>6</v>
      </c>
      <c r="F104" s="35" t="s">
        <v>62</v>
      </c>
      <c r="G104" s="35">
        <v>2</v>
      </c>
      <c r="H104" s="35">
        <v>10</v>
      </c>
      <c r="I104" s="35">
        <v>60</v>
      </c>
      <c r="J104" s="35">
        <v>0</v>
      </c>
      <c r="K104" s="35">
        <v>0</v>
      </c>
      <c r="L104" s="35">
        <v>2</v>
      </c>
      <c r="M104" s="35">
        <v>0</v>
      </c>
      <c r="N104" s="35">
        <v>0</v>
      </c>
      <c r="O104" s="35">
        <v>30</v>
      </c>
      <c r="P104" s="35">
        <v>674</v>
      </c>
      <c r="Q104" s="2"/>
      <c r="R104" s="35">
        <v>879</v>
      </c>
      <c r="S104" s="35">
        <v>40</v>
      </c>
      <c r="T104" s="35">
        <v>21.97</v>
      </c>
      <c r="U104" s="35">
        <v>7.82</v>
      </c>
      <c r="V104" s="35">
        <v>16.8</v>
      </c>
      <c r="W104" s="35">
        <v>1</v>
      </c>
      <c r="X104" s="35">
        <v>0</v>
      </c>
      <c r="Y104" s="35">
        <v>8</v>
      </c>
      <c r="Z104" s="35">
        <v>8</v>
      </c>
      <c r="AA104" s="35">
        <v>0</v>
      </c>
      <c r="AB104" s="35">
        <v>0</v>
      </c>
      <c r="AC104" s="35">
        <v>8</v>
      </c>
      <c r="AD104" s="35">
        <v>0.25800000000000001</v>
      </c>
    </row>
    <row r="105" spans="1:30" ht="15.05" x14ac:dyDescent="0.25">
      <c r="A105" s="2" t="s">
        <v>179</v>
      </c>
      <c r="B105" s="16">
        <v>47</v>
      </c>
      <c r="C105" s="16">
        <v>27</v>
      </c>
      <c r="D105" s="16">
        <v>12</v>
      </c>
      <c r="E105" s="16">
        <v>151</v>
      </c>
      <c r="F105" s="16">
        <v>41</v>
      </c>
      <c r="G105" s="16">
        <v>10.06</v>
      </c>
      <c r="H105" s="16">
        <v>169</v>
      </c>
      <c r="I105" s="16">
        <v>89.34</v>
      </c>
      <c r="J105" s="16">
        <v>0</v>
      </c>
      <c r="K105" s="16">
        <v>0</v>
      </c>
      <c r="L105" s="16">
        <v>3</v>
      </c>
      <c r="M105" s="16">
        <v>14</v>
      </c>
      <c r="N105" s="16">
        <v>4</v>
      </c>
      <c r="O105" s="16">
        <v>47</v>
      </c>
      <c r="P105" s="16">
        <v>1800</v>
      </c>
      <c r="Q105" s="16">
        <v>5</v>
      </c>
      <c r="R105" s="16">
        <v>1450</v>
      </c>
      <c r="S105" s="16">
        <v>65</v>
      </c>
      <c r="T105" s="16">
        <v>22.3</v>
      </c>
      <c r="U105" s="16">
        <v>8.58</v>
      </c>
      <c r="V105" s="16">
        <v>15.5</v>
      </c>
      <c r="W105" s="16">
        <v>1</v>
      </c>
      <c r="X105" s="16">
        <v>0</v>
      </c>
      <c r="Y105" s="16">
        <v>20</v>
      </c>
      <c r="Z105" s="16">
        <v>20</v>
      </c>
      <c r="AA105" s="16">
        <v>0</v>
      </c>
      <c r="AB105" s="16">
        <v>0</v>
      </c>
      <c r="AC105" s="16">
        <v>20</v>
      </c>
      <c r="AD105" s="16">
        <v>0.42499999999999999</v>
      </c>
    </row>
    <row r="106" spans="1:30" ht="15.05" x14ac:dyDescent="0.25">
      <c r="A106" s="8" t="s">
        <v>37</v>
      </c>
      <c r="B106" s="6">
        <v>131</v>
      </c>
      <c r="C106" s="6">
        <v>124</v>
      </c>
      <c r="D106" s="6">
        <v>15</v>
      </c>
      <c r="E106" s="6">
        <v>3493</v>
      </c>
      <c r="F106" s="6" t="s">
        <v>58</v>
      </c>
      <c r="G106" s="6">
        <v>32.04</v>
      </c>
      <c r="H106" s="6">
        <v>2432</v>
      </c>
      <c r="I106" s="6">
        <v>143.62</v>
      </c>
      <c r="J106" s="6">
        <v>2</v>
      </c>
      <c r="K106" s="6">
        <v>18</v>
      </c>
      <c r="L106" s="6">
        <v>9</v>
      </c>
      <c r="M106" s="6">
        <v>337</v>
      </c>
      <c r="N106" s="6">
        <v>153</v>
      </c>
      <c r="O106" s="6"/>
      <c r="P106" s="2"/>
      <c r="Q106" s="2"/>
      <c r="R106" s="2"/>
      <c r="S106" s="2"/>
      <c r="T106" s="2"/>
      <c r="U106" s="2"/>
      <c r="V106" s="2"/>
      <c r="W106" s="2"/>
      <c r="X106" s="2"/>
      <c r="Y106" s="6">
        <v>92</v>
      </c>
      <c r="Z106" s="6">
        <v>76</v>
      </c>
      <c r="AA106" s="6">
        <v>16</v>
      </c>
      <c r="AB106" s="6">
        <v>63</v>
      </c>
      <c r="AC106" s="6">
        <v>13</v>
      </c>
      <c r="AD106" s="30">
        <v>0.73</v>
      </c>
    </row>
    <row r="107" spans="1:30" ht="15.05" x14ac:dyDescent="0.25">
      <c r="A107" s="8" t="s">
        <v>34</v>
      </c>
      <c r="B107" s="6">
        <v>63</v>
      </c>
      <c r="C107" s="6">
        <v>25</v>
      </c>
      <c r="D107" s="6">
        <v>12</v>
      </c>
      <c r="E107" s="6">
        <v>101</v>
      </c>
      <c r="F107" s="6">
        <v>24</v>
      </c>
      <c r="G107" s="6">
        <v>7.76</v>
      </c>
      <c r="H107" s="6">
        <v>90</v>
      </c>
      <c r="I107" s="6">
        <v>112.22</v>
      </c>
      <c r="J107" s="6">
        <v>0</v>
      </c>
      <c r="K107" s="6">
        <v>0</v>
      </c>
      <c r="L107" s="6">
        <v>4</v>
      </c>
      <c r="M107" s="6">
        <v>7</v>
      </c>
      <c r="N107" s="6">
        <v>5</v>
      </c>
      <c r="O107" s="6">
        <v>62</v>
      </c>
      <c r="P107" s="6">
        <v>1296</v>
      </c>
      <c r="Q107" s="2"/>
      <c r="R107" s="6">
        <v>1715</v>
      </c>
      <c r="S107" s="6">
        <v>84</v>
      </c>
      <c r="T107" s="6">
        <v>20.41</v>
      </c>
      <c r="U107" s="6">
        <v>7.93</v>
      </c>
      <c r="V107" s="6">
        <v>15.4</v>
      </c>
      <c r="W107" s="6">
        <v>1</v>
      </c>
      <c r="X107" s="6">
        <v>2</v>
      </c>
      <c r="Y107" s="6">
        <v>28</v>
      </c>
      <c r="Z107" s="6">
        <v>28</v>
      </c>
      <c r="AA107" s="6">
        <v>0</v>
      </c>
      <c r="AB107" s="6">
        <v>0</v>
      </c>
      <c r="AC107" s="6">
        <v>28</v>
      </c>
      <c r="AD107" s="30">
        <v>0.45100000000000001</v>
      </c>
    </row>
    <row r="108" spans="1:30" ht="15.05" x14ac:dyDescent="0.25">
      <c r="A108" s="10" t="s">
        <v>115</v>
      </c>
      <c r="B108" s="19">
        <v>116</v>
      </c>
      <c r="C108" s="19">
        <v>112</v>
      </c>
      <c r="D108" s="19">
        <v>9</v>
      </c>
      <c r="E108" s="19">
        <v>3050</v>
      </c>
      <c r="F108" s="19">
        <v>105</v>
      </c>
      <c r="G108" s="19">
        <v>29.61</v>
      </c>
      <c r="H108" s="19">
        <v>2170</v>
      </c>
      <c r="I108" s="19">
        <v>140.55000000000001</v>
      </c>
      <c r="J108" s="19">
        <v>2</v>
      </c>
      <c r="K108" s="19">
        <v>15</v>
      </c>
      <c r="L108" s="19">
        <v>6</v>
      </c>
      <c r="M108" s="19">
        <v>325</v>
      </c>
      <c r="N108" s="19">
        <v>113</v>
      </c>
      <c r="O108" s="19">
        <v>0</v>
      </c>
      <c r="P108" s="19">
        <v>0</v>
      </c>
      <c r="Q108" s="2"/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66</v>
      </c>
      <c r="Z108" s="19">
        <v>62</v>
      </c>
      <c r="AA108" s="19">
        <v>4</v>
      </c>
      <c r="AB108" s="19">
        <v>44</v>
      </c>
      <c r="AC108" s="19">
        <v>18</v>
      </c>
      <c r="AD108" s="19">
        <v>0.56799999999999995</v>
      </c>
    </row>
    <row r="109" spans="1:30" ht="15.05" x14ac:dyDescent="0.25">
      <c r="A109" s="10" t="s">
        <v>121</v>
      </c>
      <c r="B109" s="19">
        <v>92</v>
      </c>
      <c r="C109" s="19">
        <v>75</v>
      </c>
      <c r="D109" s="19">
        <v>22</v>
      </c>
      <c r="E109" s="19">
        <v>1251</v>
      </c>
      <c r="F109" s="19" t="s">
        <v>144</v>
      </c>
      <c r="G109" s="19">
        <v>23.6</v>
      </c>
      <c r="H109" s="19">
        <v>797</v>
      </c>
      <c r="I109" s="19">
        <v>156.96</v>
      </c>
      <c r="J109" s="19">
        <v>0</v>
      </c>
      <c r="K109" s="19">
        <v>3</v>
      </c>
      <c r="L109" s="19">
        <v>8</v>
      </c>
      <c r="M109" s="19">
        <v>120</v>
      </c>
      <c r="N109" s="19">
        <v>54</v>
      </c>
      <c r="O109" s="19">
        <v>69</v>
      </c>
      <c r="P109" s="19">
        <f>ROUND(221.666666666667*6,0)</f>
        <v>1330</v>
      </c>
      <c r="Q109" s="2"/>
      <c r="R109" s="19">
        <v>1956</v>
      </c>
      <c r="S109" s="19">
        <v>73</v>
      </c>
      <c r="T109" s="19">
        <v>26.79</v>
      </c>
      <c r="U109" s="19">
        <v>8.82</v>
      </c>
      <c r="V109" s="19">
        <v>18.2</v>
      </c>
      <c r="W109" s="19">
        <v>2</v>
      </c>
      <c r="X109" s="26">
        <v>0</v>
      </c>
      <c r="Y109" s="19">
        <v>20</v>
      </c>
      <c r="Z109" s="19">
        <v>20</v>
      </c>
      <c r="AA109" s="19">
        <v>0</v>
      </c>
      <c r="AB109" s="19">
        <v>0</v>
      </c>
      <c r="AC109" s="19">
        <v>20</v>
      </c>
      <c r="AD109" s="19">
        <v>0.219</v>
      </c>
    </row>
    <row r="110" spans="1:30" ht="15.05" x14ac:dyDescent="0.25">
      <c r="A110" s="10" t="s">
        <v>134</v>
      </c>
      <c r="B110" s="19">
        <v>38</v>
      </c>
      <c r="C110" s="19">
        <v>36</v>
      </c>
      <c r="D110" s="19">
        <v>2</v>
      </c>
      <c r="E110" s="19">
        <v>1000</v>
      </c>
      <c r="F110" s="19">
        <v>104</v>
      </c>
      <c r="G110" s="19">
        <v>29.41</v>
      </c>
      <c r="H110" s="19">
        <v>776</v>
      </c>
      <c r="I110" s="19">
        <v>128.86000000000001</v>
      </c>
      <c r="J110" s="19">
        <v>1</v>
      </c>
      <c r="K110" s="19">
        <v>7</v>
      </c>
      <c r="L110" s="19">
        <v>3</v>
      </c>
      <c r="M110" s="19">
        <v>96</v>
      </c>
      <c r="N110" s="19">
        <v>35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37">
        <v>0</v>
      </c>
      <c r="Y110" s="19">
        <v>19</v>
      </c>
      <c r="Z110" s="19">
        <v>18</v>
      </c>
      <c r="AA110" s="19">
        <v>1</v>
      </c>
      <c r="AB110" s="19">
        <v>9</v>
      </c>
      <c r="AC110" s="19">
        <v>9</v>
      </c>
      <c r="AD110" s="19">
        <v>0.52700000000000002</v>
      </c>
    </row>
    <row r="111" spans="1:30" ht="15.05" x14ac:dyDescent="0.25">
      <c r="A111" s="10" t="s">
        <v>192</v>
      </c>
      <c r="B111" s="35">
        <v>108</v>
      </c>
      <c r="C111" s="35">
        <v>100</v>
      </c>
      <c r="D111" s="35">
        <v>14</v>
      </c>
      <c r="E111" s="35">
        <v>2591</v>
      </c>
      <c r="F111" s="35" t="s">
        <v>103</v>
      </c>
      <c r="G111" s="35">
        <v>30.12</v>
      </c>
      <c r="H111" s="35">
        <v>1969</v>
      </c>
      <c r="I111" s="35">
        <v>131.58000000000001</v>
      </c>
      <c r="J111" s="35">
        <v>1</v>
      </c>
      <c r="K111" s="35">
        <v>14</v>
      </c>
      <c r="L111" s="35">
        <v>11</v>
      </c>
      <c r="M111" s="35">
        <v>206</v>
      </c>
      <c r="N111" s="35">
        <v>102</v>
      </c>
      <c r="O111" s="35">
        <v>3</v>
      </c>
      <c r="P111" s="35">
        <v>12</v>
      </c>
      <c r="Q111" s="2"/>
      <c r="R111" s="35">
        <v>13</v>
      </c>
      <c r="S111" s="35">
        <v>0</v>
      </c>
      <c r="T111" s="36" t="s">
        <v>189</v>
      </c>
      <c r="U111" s="35">
        <v>8.66</v>
      </c>
      <c r="V111" s="36" t="s">
        <v>189</v>
      </c>
      <c r="W111" s="35">
        <v>0</v>
      </c>
      <c r="X111" s="35">
        <v>0</v>
      </c>
      <c r="Y111" s="35">
        <v>38</v>
      </c>
      <c r="Z111" s="35">
        <v>38</v>
      </c>
      <c r="AA111" s="35">
        <v>0</v>
      </c>
      <c r="AB111" s="35">
        <v>0</v>
      </c>
      <c r="AC111" s="35">
        <v>38</v>
      </c>
      <c r="AD111" s="35">
        <v>0.35499999999999998</v>
      </c>
    </row>
    <row r="112" spans="1:30" ht="15.05" x14ac:dyDescent="0.25">
      <c r="A112" s="10" t="s">
        <v>129</v>
      </c>
      <c r="B112" s="19">
        <v>103</v>
      </c>
      <c r="C112" s="19">
        <v>35</v>
      </c>
      <c r="D112" s="19">
        <v>12</v>
      </c>
      <c r="E112" s="19">
        <v>126</v>
      </c>
      <c r="F112" s="19">
        <v>30</v>
      </c>
      <c r="G112" s="19">
        <v>5.47</v>
      </c>
      <c r="H112" s="19">
        <v>118</v>
      </c>
      <c r="I112" s="19">
        <v>106.77</v>
      </c>
      <c r="J112" s="19">
        <v>0</v>
      </c>
      <c r="K112" s="19">
        <v>0</v>
      </c>
      <c r="L112" s="19">
        <v>8</v>
      </c>
      <c r="M112" s="19">
        <v>14</v>
      </c>
      <c r="N112" s="19">
        <v>5</v>
      </c>
      <c r="O112" s="19">
        <v>102</v>
      </c>
      <c r="P112" s="19">
        <v>359</v>
      </c>
      <c r="Q112" s="2"/>
      <c r="R112" s="19">
        <v>3297</v>
      </c>
      <c r="S112" s="19">
        <v>144</v>
      </c>
      <c r="T112" s="19">
        <v>22.89</v>
      </c>
      <c r="U112" s="19">
        <v>9.18</v>
      </c>
      <c r="V112" s="19">
        <v>14.9</v>
      </c>
      <c r="W112" s="19">
        <v>6</v>
      </c>
      <c r="X112" s="26">
        <v>0</v>
      </c>
      <c r="Y112" s="19">
        <v>17</v>
      </c>
      <c r="Z112" s="19">
        <v>17</v>
      </c>
      <c r="AA112" s="19">
        <v>0</v>
      </c>
      <c r="AB112" s="19">
        <v>0</v>
      </c>
      <c r="AC112" s="19">
        <v>17</v>
      </c>
      <c r="AD112" s="19">
        <v>0.16600000000000001</v>
      </c>
    </row>
    <row r="113" spans="1:30" ht="15.05" x14ac:dyDescent="0.25">
      <c r="A113" s="10" t="s">
        <v>70</v>
      </c>
      <c r="B113" s="35">
        <v>52</v>
      </c>
      <c r="C113" s="35">
        <v>23</v>
      </c>
      <c r="D113" s="35">
        <v>13</v>
      </c>
      <c r="E113" s="35">
        <v>140</v>
      </c>
      <c r="F113" s="35">
        <v>25</v>
      </c>
      <c r="G113" s="35">
        <v>14</v>
      </c>
      <c r="H113" s="38">
        <v>161</v>
      </c>
      <c r="I113" s="35">
        <v>86.95</v>
      </c>
      <c r="J113" s="35">
        <v>0</v>
      </c>
      <c r="K113" s="35">
        <v>17</v>
      </c>
      <c r="L113" s="35">
        <v>0</v>
      </c>
      <c r="M113" s="35">
        <v>10</v>
      </c>
      <c r="N113" s="2">
        <v>0</v>
      </c>
      <c r="O113" s="35">
        <v>51</v>
      </c>
      <c r="P113" s="35">
        <v>1035</v>
      </c>
      <c r="Q113" s="2">
        <v>1</v>
      </c>
      <c r="R113" s="35">
        <v>1262</v>
      </c>
      <c r="S113" s="35">
        <v>56</v>
      </c>
      <c r="T113" s="35">
        <v>22.53</v>
      </c>
      <c r="U113" s="35">
        <v>7.3</v>
      </c>
      <c r="V113" s="35">
        <v>18.5</v>
      </c>
      <c r="W113" s="35">
        <v>1</v>
      </c>
      <c r="X113" s="35">
        <v>0</v>
      </c>
      <c r="Y113" s="35">
        <v>17</v>
      </c>
      <c r="Z113" s="35">
        <v>17</v>
      </c>
      <c r="AA113" s="35">
        <v>0</v>
      </c>
      <c r="AB113" s="35">
        <v>0</v>
      </c>
      <c r="AC113" s="35">
        <v>17</v>
      </c>
      <c r="AD113" s="35">
        <v>0.32600000000000001</v>
      </c>
    </row>
    <row r="114" spans="1:30" ht="15.05" x14ac:dyDescent="0.25">
      <c r="A114" s="10" t="s">
        <v>191</v>
      </c>
      <c r="B114" s="35">
        <v>64</v>
      </c>
      <c r="C114" s="35">
        <v>10</v>
      </c>
      <c r="D114" s="35">
        <v>8</v>
      </c>
      <c r="E114" s="35">
        <v>15</v>
      </c>
      <c r="F114" s="35">
        <v>7</v>
      </c>
      <c r="G114" s="35">
        <v>7.5</v>
      </c>
      <c r="H114" s="35">
        <v>34</v>
      </c>
      <c r="I114" s="35">
        <v>44.11</v>
      </c>
      <c r="J114" s="35">
        <v>0</v>
      </c>
      <c r="K114" s="35">
        <v>0</v>
      </c>
      <c r="L114" s="35">
        <v>1</v>
      </c>
      <c r="M114" s="35">
        <v>1</v>
      </c>
      <c r="N114" s="35">
        <v>0</v>
      </c>
      <c r="O114" s="35">
        <v>62</v>
      </c>
      <c r="P114" s="35">
        <v>1285</v>
      </c>
      <c r="Q114" s="2"/>
      <c r="R114" s="35">
        <v>1734</v>
      </c>
      <c r="S114" s="35">
        <v>80</v>
      </c>
      <c r="T114" s="35">
        <v>21.67</v>
      </c>
      <c r="U114" s="35">
        <v>8.09</v>
      </c>
      <c r="V114" s="35">
        <v>16</v>
      </c>
      <c r="W114" s="35">
        <v>2</v>
      </c>
      <c r="X114" s="35">
        <v>0</v>
      </c>
      <c r="Y114" s="35">
        <v>5</v>
      </c>
      <c r="Z114" s="35">
        <v>5</v>
      </c>
      <c r="AA114" s="35">
        <v>0</v>
      </c>
      <c r="AB114" s="35">
        <v>0</v>
      </c>
      <c r="AC114" s="35">
        <v>5</v>
      </c>
      <c r="AD114" s="39">
        <f>Y114/O114</f>
        <v>8.0645161290322578E-2</v>
      </c>
    </row>
    <row r="115" spans="1:30" ht="15.05" x14ac:dyDescent="0.25">
      <c r="A115" s="10" t="s">
        <v>68</v>
      </c>
      <c r="B115" s="35">
        <v>60</v>
      </c>
      <c r="C115" s="35">
        <v>40</v>
      </c>
      <c r="D115" s="35">
        <v>14</v>
      </c>
      <c r="E115" s="35">
        <v>388</v>
      </c>
      <c r="F115" s="35">
        <v>46</v>
      </c>
      <c r="G115" s="35">
        <v>14.92</v>
      </c>
      <c r="H115" s="35">
        <v>319</v>
      </c>
      <c r="I115" s="35">
        <v>121.63</v>
      </c>
      <c r="J115" s="35">
        <v>0</v>
      </c>
      <c r="K115" s="35">
        <v>0</v>
      </c>
      <c r="L115" s="35">
        <v>3</v>
      </c>
      <c r="M115" s="35">
        <v>30</v>
      </c>
      <c r="N115" s="35">
        <v>18</v>
      </c>
      <c r="O115" s="35">
        <v>59</v>
      </c>
      <c r="P115" s="35">
        <v>1147</v>
      </c>
      <c r="Q115" s="2"/>
      <c r="R115" s="35">
        <v>1766</v>
      </c>
      <c r="S115" s="35">
        <v>75</v>
      </c>
      <c r="T115" s="35">
        <v>23.54</v>
      </c>
      <c r="U115" s="35">
        <v>9.23</v>
      </c>
      <c r="V115" s="35">
        <v>15.2</v>
      </c>
      <c r="W115" s="35">
        <v>1</v>
      </c>
      <c r="X115" s="35">
        <v>0</v>
      </c>
      <c r="Y115" s="35">
        <v>22</v>
      </c>
      <c r="Z115" s="35">
        <v>22</v>
      </c>
      <c r="AA115" s="35">
        <v>0</v>
      </c>
      <c r="AB115" s="35">
        <v>0</v>
      </c>
      <c r="AC115" s="35">
        <v>22</v>
      </c>
      <c r="AD115" s="39">
        <f>Y115/O115</f>
        <v>0.3728813559322034</v>
      </c>
    </row>
    <row r="116" spans="1:30" ht="15.05" x14ac:dyDescent="0.25">
      <c r="A116" s="2" t="s">
        <v>172</v>
      </c>
      <c r="B116" s="16">
        <v>86</v>
      </c>
      <c r="C116" s="16">
        <v>72</v>
      </c>
      <c r="D116" s="16">
        <v>11</v>
      </c>
      <c r="E116" s="16">
        <v>1666</v>
      </c>
      <c r="F116" s="16" t="s">
        <v>173</v>
      </c>
      <c r="G116" s="16">
        <v>27.31</v>
      </c>
      <c r="H116" s="16">
        <v>1241</v>
      </c>
      <c r="I116" s="16">
        <v>134.24</v>
      </c>
      <c r="J116" s="16">
        <v>0</v>
      </c>
      <c r="K116" s="16">
        <v>8</v>
      </c>
      <c r="L116" s="16">
        <v>3</v>
      </c>
      <c r="M116" s="16">
        <v>130</v>
      </c>
      <c r="N116" s="16">
        <v>61</v>
      </c>
      <c r="O116" s="16">
        <v>55</v>
      </c>
      <c r="P116" s="16">
        <v>800</v>
      </c>
      <c r="Q116" s="16">
        <v>0</v>
      </c>
      <c r="R116" s="16">
        <v>1175</v>
      </c>
      <c r="S116" s="16">
        <v>38</v>
      </c>
      <c r="T116" s="16">
        <v>30.92</v>
      </c>
      <c r="U116" s="16">
        <v>8.82</v>
      </c>
      <c r="V116" s="16">
        <v>21</v>
      </c>
      <c r="W116" s="16">
        <v>1</v>
      </c>
      <c r="X116" s="16">
        <v>0</v>
      </c>
      <c r="Y116" s="16">
        <v>41</v>
      </c>
      <c r="Z116" s="16">
        <v>41</v>
      </c>
      <c r="AA116" s="16">
        <v>0</v>
      </c>
      <c r="AB116" s="16">
        <v>0</v>
      </c>
      <c r="AC116" s="16">
        <v>41</v>
      </c>
      <c r="AD116" s="16">
        <v>0.48799999999999999</v>
      </c>
    </row>
    <row r="117" spans="1:30" ht="15.05" x14ac:dyDescent="0.25">
      <c r="A117" s="8" t="s">
        <v>40</v>
      </c>
      <c r="B117" s="6">
        <v>37</v>
      </c>
      <c r="C117" s="6">
        <v>36</v>
      </c>
      <c r="D117" s="6">
        <v>1</v>
      </c>
      <c r="E117" s="6">
        <v>715</v>
      </c>
      <c r="F117" s="6" t="s">
        <v>60</v>
      </c>
      <c r="G117" s="6">
        <v>20.420000000000002</v>
      </c>
      <c r="H117" s="6">
        <v>616</v>
      </c>
      <c r="I117" s="6">
        <v>116.07</v>
      </c>
      <c r="J117" s="6">
        <v>1</v>
      </c>
      <c r="K117" s="6">
        <v>5</v>
      </c>
      <c r="L117" s="6">
        <v>2</v>
      </c>
      <c r="M117" s="6">
        <v>67</v>
      </c>
      <c r="N117" s="6">
        <v>19</v>
      </c>
      <c r="O117" s="6"/>
      <c r="P117" s="2"/>
      <c r="Q117" s="2"/>
      <c r="R117" s="2"/>
      <c r="S117" s="2"/>
      <c r="T117" s="2"/>
      <c r="U117" s="2"/>
      <c r="V117" s="2"/>
      <c r="W117" s="2"/>
      <c r="X117" s="2"/>
      <c r="Y117" s="6">
        <v>14</v>
      </c>
      <c r="Z117" s="6">
        <v>14</v>
      </c>
      <c r="AA117" s="6">
        <v>0</v>
      </c>
      <c r="AB117" s="6">
        <v>0</v>
      </c>
      <c r="AC117" s="6">
        <v>14</v>
      </c>
      <c r="AD117" s="6">
        <v>0.41099999999999998</v>
      </c>
    </row>
    <row r="118" spans="1:30" ht="15.05" x14ac:dyDescent="0.25">
      <c r="A118" s="8" t="s">
        <v>29</v>
      </c>
      <c r="B118" s="6">
        <v>24</v>
      </c>
      <c r="C118" s="6">
        <v>21</v>
      </c>
      <c r="D118" s="6">
        <v>2</v>
      </c>
      <c r="E118" s="6">
        <v>374</v>
      </c>
      <c r="F118" s="6">
        <v>45</v>
      </c>
      <c r="G118" s="6">
        <v>19.68</v>
      </c>
      <c r="H118" s="6">
        <v>295</v>
      </c>
      <c r="I118" s="6">
        <v>126.77</v>
      </c>
      <c r="J118" s="6">
        <v>0</v>
      </c>
      <c r="K118" s="6">
        <v>0</v>
      </c>
      <c r="L118" s="6">
        <v>1</v>
      </c>
      <c r="M118" s="6">
        <v>17</v>
      </c>
      <c r="N118" s="6">
        <v>27</v>
      </c>
      <c r="O118" s="6">
        <v>8</v>
      </c>
      <c r="P118" s="6">
        <f>18*6</f>
        <v>108</v>
      </c>
      <c r="Q118" s="6">
        <v>0</v>
      </c>
      <c r="R118" s="6">
        <v>153</v>
      </c>
      <c r="S118" s="6">
        <v>4</v>
      </c>
      <c r="T118" s="6">
        <v>38.25</v>
      </c>
      <c r="U118" s="6">
        <v>8.5</v>
      </c>
      <c r="V118" s="6">
        <v>27</v>
      </c>
      <c r="W118" s="6">
        <v>0</v>
      </c>
      <c r="X118" s="6">
        <v>0</v>
      </c>
      <c r="Y118" s="6">
        <v>13</v>
      </c>
      <c r="Z118" s="6">
        <v>13</v>
      </c>
      <c r="AA118" s="6">
        <v>0</v>
      </c>
      <c r="AB118" s="6">
        <v>0</v>
      </c>
      <c r="AC118" s="6">
        <v>13</v>
      </c>
      <c r="AD118" s="30">
        <v>0.54100000000000004</v>
      </c>
    </row>
    <row r="119" spans="1:30" ht="15.05" x14ac:dyDescent="0.25">
      <c r="A119" s="2" t="s">
        <v>167</v>
      </c>
      <c r="B119" s="16">
        <v>34</v>
      </c>
      <c r="C119" s="16">
        <v>31</v>
      </c>
      <c r="D119" s="16">
        <v>12</v>
      </c>
      <c r="E119" s="16">
        <v>513</v>
      </c>
      <c r="F119" s="16">
        <v>70</v>
      </c>
      <c r="G119" s="16">
        <v>27</v>
      </c>
      <c r="H119" s="16">
        <v>355</v>
      </c>
      <c r="I119" s="16">
        <v>144.5</v>
      </c>
      <c r="J119" s="16">
        <v>0</v>
      </c>
      <c r="K119" s="16">
        <v>2</v>
      </c>
      <c r="L119" s="16">
        <v>1</v>
      </c>
      <c r="M119" s="16">
        <v>29</v>
      </c>
      <c r="N119" s="16">
        <v>23</v>
      </c>
      <c r="O119" s="16">
        <v>31</v>
      </c>
      <c r="P119" s="16">
        <v>610</v>
      </c>
      <c r="Q119" s="16">
        <v>2</v>
      </c>
      <c r="R119" s="16">
        <v>850</v>
      </c>
      <c r="S119" s="16">
        <v>23</v>
      </c>
      <c r="T119" s="16">
        <v>36.950000000000003</v>
      </c>
      <c r="U119" s="16">
        <v>8.34</v>
      </c>
      <c r="V119" s="16">
        <v>26.5</v>
      </c>
      <c r="W119" s="16">
        <v>0</v>
      </c>
      <c r="X119" s="16">
        <v>0</v>
      </c>
      <c r="Y119" s="16">
        <v>20</v>
      </c>
      <c r="Z119" s="16">
        <v>20</v>
      </c>
      <c r="AA119" s="16">
        <v>0</v>
      </c>
      <c r="AB119" s="16">
        <v>0</v>
      </c>
      <c r="AC119" s="16">
        <v>20</v>
      </c>
      <c r="AD119" s="16">
        <v>0.58799999999999997</v>
      </c>
    </row>
    <row r="120" spans="1:30" ht="15.05" x14ac:dyDescent="0.25">
      <c r="A120" s="2" t="s">
        <v>171</v>
      </c>
      <c r="B120" s="16">
        <v>60</v>
      </c>
      <c r="C120" s="16">
        <v>33</v>
      </c>
      <c r="D120" s="16">
        <v>15</v>
      </c>
      <c r="E120" s="16">
        <v>251</v>
      </c>
      <c r="F120" s="16">
        <v>32</v>
      </c>
      <c r="G120" s="16">
        <v>13.94</v>
      </c>
      <c r="H120" s="16">
        <v>199</v>
      </c>
      <c r="I120" s="16">
        <v>126.13</v>
      </c>
      <c r="J120" s="16">
        <v>0</v>
      </c>
      <c r="K120" s="16">
        <v>0</v>
      </c>
      <c r="L120" s="16">
        <v>2</v>
      </c>
      <c r="M120" s="16">
        <v>18</v>
      </c>
      <c r="N120" s="16">
        <v>9</v>
      </c>
      <c r="O120" s="16">
        <v>57</v>
      </c>
      <c r="P120" s="16">
        <f>196*6</f>
        <v>1176</v>
      </c>
      <c r="Q120" s="16">
        <v>2</v>
      </c>
      <c r="R120" s="16">
        <v>1534</v>
      </c>
      <c r="S120" s="16">
        <v>71</v>
      </c>
      <c r="T120" s="16">
        <v>21.6</v>
      </c>
      <c r="U120" s="16">
        <v>7.82</v>
      </c>
      <c r="V120" s="16">
        <v>16.5</v>
      </c>
      <c r="W120" s="16">
        <v>1</v>
      </c>
      <c r="X120" s="16">
        <v>0</v>
      </c>
      <c r="Y120" s="16">
        <v>10</v>
      </c>
      <c r="Z120" s="16">
        <v>10</v>
      </c>
      <c r="AA120" s="16">
        <v>0</v>
      </c>
      <c r="AB120" s="16">
        <v>0</v>
      </c>
      <c r="AC120" s="16">
        <v>10</v>
      </c>
      <c r="AD120" s="16">
        <v>0.17199999999999999</v>
      </c>
    </row>
    <row r="121" spans="1:30" ht="15.05" x14ac:dyDescent="0.25">
      <c r="A121" s="1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32"/>
    </row>
    <row r="122" spans="1:30" ht="15.0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5.05" x14ac:dyDescent="0.25">
      <c r="A123" s="1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5.05" x14ac:dyDescent="0.25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5.05" x14ac:dyDescent="0.25">
      <c r="A125" s="1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</sheetData>
  <autoFilter ref="A1:AD125" xr:uid="{7F1F60E5-B4D7-42D6-AE80-130A89276F82}">
    <sortState xmlns:xlrd2="http://schemas.microsoft.com/office/spreadsheetml/2017/richdata2" ref="A2:AD125">
      <sortCondition ref="A1:A12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6061-870C-4153-8FDC-D4A74E4D1BC3}">
  <dimension ref="A1:XEQ28"/>
  <sheetViews>
    <sheetView zoomScale="121" workbookViewId="0">
      <pane xSplit="1" topLeftCell="P1" activePane="topRight" state="frozen"/>
      <selection pane="topRight" activeCell="AB13" sqref="AB13"/>
    </sheetView>
  </sheetViews>
  <sheetFormatPr defaultRowHeight="14.4" x14ac:dyDescent="0.25"/>
  <cols>
    <col min="1" max="1" width="16.59765625" bestFit="1" customWidth="1"/>
    <col min="10" max="10" width="10.5" bestFit="1" customWidth="1"/>
    <col min="31" max="31" width="9.69921875" bestFit="1" customWidth="1"/>
    <col min="35" max="35" width="6.59765625" bestFit="1" customWidth="1"/>
    <col min="36" max="36" width="6.5" bestFit="1" customWidth="1"/>
    <col min="37" max="38" width="7.19921875" bestFit="1" customWidth="1"/>
    <col min="39" max="39" width="9.59765625" bestFit="1" customWidth="1"/>
    <col min="40" max="40" width="16.59765625" bestFit="1" customWidth="1"/>
    <col min="42" max="42" width="19.19921875" bestFit="1" customWidth="1"/>
  </cols>
  <sheetData>
    <row r="1" spans="1:55 16371:16371" ht="15.05" x14ac:dyDescent="0.25">
      <c r="A1" s="49" t="s">
        <v>211</v>
      </c>
      <c r="B1" s="49" t="s">
        <v>50</v>
      </c>
      <c r="C1" s="50" t="s">
        <v>6</v>
      </c>
      <c r="D1" s="50" t="s">
        <v>5</v>
      </c>
      <c r="E1" s="50" t="s">
        <v>51</v>
      </c>
      <c r="F1" s="50" t="s">
        <v>17</v>
      </c>
      <c r="G1" s="50" t="s">
        <v>2</v>
      </c>
      <c r="H1" s="50" t="s">
        <v>7</v>
      </c>
      <c r="I1" s="50" t="s">
        <v>4</v>
      </c>
      <c r="J1" s="50" t="s">
        <v>25</v>
      </c>
      <c r="K1" s="50" t="s">
        <v>8</v>
      </c>
      <c r="L1" s="50" t="s">
        <v>13</v>
      </c>
      <c r="M1" s="50" t="s">
        <v>14</v>
      </c>
      <c r="N1" s="50" t="s">
        <v>15</v>
      </c>
      <c r="O1" s="50" t="s">
        <v>16</v>
      </c>
      <c r="P1" s="50" t="s">
        <v>18</v>
      </c>
      <c r="Q1" s="50" t="s">
        <v>193</v>
      </c>
      <c r="R1" s="50" t="s">
        <v>19</v>
      </c>
      <c r="S1" s="50" t="s">
        <v>20</v>
      </c>
      <c r="T1" s="50" t="s">
        <v>9</v>
      </c>
      <c r="U1" s="50" t="s">
        <v>10</v>
      </c>
      <c r="V1" s="50" t="s">
        <v>21</v>
      </c>
      <c r="W1" s="50" t="s">
        <v>22</v>
      </c>
      <c r="X1" s="50">
        <v>4</v>
      </c>
      <c r="Y1" s="50">
        <v>5</v>
      </c>
      <c r="Z1" s="50" t="s">
        <v>23</v>
      </c>
      <c r="AA1" s="50" t="s">
        <v>11</v>
      </c>
      <c r="AB1" s="50" t="s">
        <v>12</v>
      </c>
      <c r="AC1" s="50" t="s">
        <v>53</v>
      </c>
      <c r="AD1" s="50" t="s">
        <v>54</v>
      </c>
      <c r="AE1" s="50" t="s">
        <v>24</v>
      </c>
      <c r="AF1" s="51" t="s">
        <v>205</v>
      </c>
      <c r="AG1" s="51" t="s">
        <v>206</v>
      </c>
      <c r="AH1" s="51" t="s">
        <v>207</v>
      </c>
      <c r="AI1" s="51" t="s">
        <v>208</v>
      </c>
      <c r="AJ1" s="51" t="s">
        <v>209</v>
      </c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31"/>
      <c r="XEQ1" s="2" t="s">
        <v>198</v>
      </c>
    </row>
    <row r="2" spans="1:55 16371:16371" ht="15.05" x14ac:dyDescent="0.25">
      <c r="A2" s="52" t="s">
        <v>212</v>
      </c>
      <c r="B2" s="53" t="s">
        <v>108</v>
      </c>
      <c r="C2" s="54">
        <v>115</v>
      </c>
      <c r="D2" s="54">
        <v>107</v>
      </c>
      <c r="E2" s="54">
        <v>21</v>
      </c>
      <c r="F2" s="54">
        <v>2651</v>
      </c>
      <c r="G2" s="54" t="s">
        <v>136</v>
      </c>
      <c r="H2" s="54">
        <v>30.82</v>
      </c>
      <c r="I2" s="54">
        <v>1904</v>
      </c>
      <c r="J2" s="54">
        <v>139.22999999999999</v>
      </c>
      <c r="K2" s="54">
        <v>0</v>
      </c>
      <c r="L2" s="54">
        <v>16</v>
      </c>
      <c r="M2" s="54">
        <v>3</v>
      </c>
      <c r="N2" s="54">
        <v>182</v>
      </c>
      <c r="O2" s="54">
        <v>97</v>
      </c>
      <c r="P2" s="54">
        <v>37</v>
      </c>
      <c r="Q2" s="54">
        <f>74.5*6</f>
        <v>447</v>
      </c>
      <c r="R2" s="51"/>
      <c r="S2" s="54">
        <v>732</v>
      </c>
      <c r="T2" s="54">
        <v>24</v>
      </c>
      <c r="U2" s="54">
        <v>30.5</v>
      </c>
      <c r="V2" s="54">
        <v>9.82</v>
      </c>
      <c r="W2" s="54">
        <v>18.600000000000001</v>
      </c>
      <c r="X2" s="54">
        <v>0</v>
      </c>
      <c r="Y2" s="54">
        <v>0</v>
      </c>
      <c r="Z2" s="55">
        <v>63</v>
      </c>
      <c r="AA2" s="55">
        <v>63</v>
      </c>
      <c r="AB2" s="55">
        <v>0</v>
      </c>
      <c r="AC2" s="55">
        <v>0</v>
      </c>
      <c r="AD2" s="55">
        <v>63</v>
      </c>
      <c r="AE2" s="55">
        <v>0.56200000000000006</v>
      </c>
      <c r="AF2" s="51">
        <v>8.32</v>
      </c>
      <c r="AG2" s="51">
        <v>8.42</v>
      </c>
      <c r="AH2" s="51">
        <v>9.1999999999999993</v>
      </c>
      <c r="AI2" s="51">
        <v>4.29</v>
      </c>
      <c r="AJ2" s="51" t="s">
        <v>210</v>
      </c>
      <c r="AN2" s="10"/>
      <c r="AP2" s="2"/>
      <c r="AQ2" s="1"/>
      <c r="AR2" s="1"/>
      <c r="AS2" s="1"/>
      <c r="AT2" s="1"/>
      <c r="AU2" s="1"/>
      <c r="AV2" s="43"/>
      <c r="AW2" s="43"/>
      <c r="AX2" s="43"/>
      <c r="AY2" s="43"/>
      <c r="AZ2" s="1"/>
      <c r="BA2" s="1"/>
      <c r="BB2" s="43"/>
    </row>
    <row r="3" spans="1:55 16371:16371" ht="15.05" x14ac:dyDescent="0.25">
      <c r="A3" s="52"/>
      <c r="B3" s="51" t="s">
        <v>152</v>
      </c>
      <c r="C3" s="56">
        <v>72</v>
      </c>
      <c r="D3" s="56">
        <v>70</v>
      </c>
      <c r="E3" s="56">
        <v>4</v>
      </c>
      <c r="F3" s="56">
        <v>2031</v>
      </c>
      <c r="G3" s="56">
        <v>109</v>
      </c>
      <c r="H3" s="56">
        <v>30.77</v>
      </c>
      <c r="I3" s="56">
        <v>1317</v>
      </c>
      <c r="J3" s="56">
        <v>154.21</v>
      </c>
      <c r="K3" s="56">
        <v>2</v>
      </c>
      <c r="L3" s="56">
        <v>13</v>
      </c>
      <c r="M3" s="56">
        <v>6</v>
      </c>
      <c r="N3" s="56">
        <v>189</v>
      </c>
      <c r="O3" s="56">
        <v>95</v>
      </c>
      <c r="P3" s="56">
        <v>53</v>
      </c>
      <c r="Q3" s="56">
        <f>714</f>
        <v>714</v>
      </c>
      <c r="R3" s="51"/>
      <c r="S3" s="56">
        <v>945</v>
      </c>
      <c r="T3" s="56">
        <v>37</v>
      </c>
      <c r="U3" s="56">
        <v>25.54</v>
      </c>
      <c r="V3" s="56">
        <v>7.94</v>
      </c>
      <c r="W3" s="56">
        <v>19.2</v>
      </c>
      <c r="X3" s="56">
        <v>0</v>
      </c>
      <c r="Y3" s="56">
        <v>1</v>
      </c>
      <c r="Z3" s="56">
        <v>42</v>
      </c>
      <c r="AA3" s="56">
        <v>42</v>
      </c>
      <c r="AB3" s="56">
        <v>0</v>
      </c>
      <c r="AC3" s="56">
        <v>0</v>
      </c>
      <c r="AD3" s="56">
        <v>42</v>
      </c>
      <c r="AE3" s="56">
        <v>0.58299999999999996</v>
      </c>
      <c r="AF3" s="51">
        <v>8.1999999999999993</v>
      </c>
      <c r="AG3" s="51">
        <v>9.35</v>
      </c>
      <c r="AH3" s="51">
        <v>7.66</v>
      </c>
      <c r="AI3" s="51">
        <v>4.62</v>
      </c>
      <c r="AJ3" s="51" t="s">
        <v>210</v>
      </c>
      <c r="AN3" s="2"/>
      <c r="AP3" s="2"/>
      <c r="AQ3" s="1"/>
      <c r="AR3" s="1"/>
      <c r="AS3" s="1"/>
      <c r="AT3" s="1"/>
      <c r="AU3" s="1"/>
      <c r="AV3" s="43"/>
      <c r="AW3" s="43"/>
      <c r="AX3" s="43"/>
      <c r="AY3" s="43"/>
      <c r="AZ3" s="1"/>
      <c r="BA3" s="1"/>
      <c r="BB3" s="43"/>
      <c r="BC3" s="1"/>
    </row>
    <row r="4" spans="1:55 16371:16371" ht="15.05" x14ac:dyDescent="0.25">
      <c r="A4" s="52"/>
      <c r="B4" s="53" t="s">
        <v>71</v>
      </c>
      <c r="C4" s="57">
        <v>80</v>
      </c>
      <c r="D4" s="57">
        <v>75</v>
      </c>
      <c r="E4" s="57">
        <v>9</v>
      </c>
      <c r="F4" s="57">
        <v>2025</v>
      </c>
      <c r="G4" s="57">
        <v>162</v>
      </c>
      <c r="H4" s="57">
        <v>30.68</v>
      </c>
      <c r="I4" s="57">
        <v>1263</v>
      </c>
      <c r="J4" s="57">
        <v>160.33000000000001</v>
      </c>
      <c r="K4" s="57">
        <v>2</v>
      </c>
      <c r="L4" s="57">
        <v>11</v>
      </c>
      <c r="M4" s="57">
        <v>7</v>
      </c>
      <c r="N4" s="57">
        <v>127</v>
      </c>
      <c r="O4" s="57">
        <v>153</v>
      </c>
      <c r="P4" s="57">
        <v>16</v>
      </c>
      <c r="Q4" s="57">
        <v>31</v>
      </c>
      <c r="R4" s="51"/>
      <c r="S4" s="57">
        <v>233</v>
      </c>
      <c r="T4" s="57">
        <v>12</v>
      </c>
      <c r="U4" s="57">
        <v>19.41</v>
      </c>
      <c r="V4" s="57">
        <v>7.51</v>
      </c>
      <c r="W4" s="57">
        <v>15.5</v>
      </c>
      <c r="X4" s="57">
        <v>0</v>
      </c>
      <c r="Y4" s="57">
        <v>0</v>
      </c>
      <c r="Z4" s="57">
        <v>44</v>
      </c>
      <c r="AA4" s="57">
        <v>44</v>
      </c>
      <c r="AB4" s="57">
        <v>0</v>
      </c>
      <c r="AC4" s="57">
        <v>0</v>
      </c>
      <c r="AD4" s="57">
        <v>44</v>
      </c>
      <c r="AE4" s="58">
        <f>Z4/C4</f>
        <v>0.55000000000000004</v>
      </c>
      <c r="AF4" s="51">
        <v>8.15</v>
      </c>
      <c r="AG4" s="51">
        <v>9.56</v>
      </c>
      <c r="AH4" s="51">
        <v>7.35</v>
      </c>
      <c r="AI4" s="51">
        <v>4.3099999999999996</v>
      </c>
      <c r="AJ4" s="51" t="s">
        <v>210</v>
      </c>
      <c r="AN4" s="10"/>
      <c r="AP4" s="2"/>
      <c r="AQ4" s="1"/>
      <c r="AR4" s="1"/>
      <c r="AS4" s="1"/>
      <c r="AT4" s="1"/>
      <c r="AU4" s="1"/>
      <c r="AV4" s="43"/>
      <c r="AW4" s="43"/>
      <c r="AX4" s="43"/>
      <c r="AY4" s="43"/>
      <c r="AZ4" s="1"/>
      <c r="BA4" s="1"/>
      <c r="BB4" s="43"/>
      <c r="BC4" s="1"/>
    </row>
    <row r="5" spans="1:55 16371:16371" ht="15.05" x14ac:dyDescent="0.25">
      <c r="A5" s="52"/>
      <c r="B5" s="59" t="s">
        <v>47</v>
      </c>
      <c r="C5" s="60">
        <v>96</v>
      </c>
      <c r="D5" s="60">
        <v>88</v>
      </c>
      <c r="E5" s="60">
        <v>28</v>
      </c>
      <c r="F5" s="60">
        <v>1773</v>
      </c>
      <c r="G5" s="60" t="s">
        <v>64</v>
      </c>
      <c r="H5" s="60">
        <v>29.55</v>
      </c>
      <c r="I5" s="60">
        <v>1230</v>
      </c>
      <c r="J5" s="60">
        <v>144.13999999999999</v>
      </c>
      <c r="K5" s="60">
        <v>0</v>
      </c>
      <c r="L5" s="60">
        <v>7</v>
      </c>
      <c r="M5" s="60">
        <v>5</v>
      </c>
      <c r="N5" s="60">
        <v>142</v>
      </c>
      <c r="O5" s="60">
        <v>55</v>
      </c>
      <c r="P5" s="61">
        <v>33</v>
      </c>
      <c r="Q5" s="61">
        <v>310</v>
      </c>
      <c r="R5" s="62">
        <v>0</v>
      </c>
      <c r="S5" s="61">
        <v>420</v>
      </c>
      <c r="T5" s="63">
        <v>62</v>
      </c>
      <c r="U5" s="61">
        <v>38.18</v>
      </c>
      <c r="V5" s="61">
        <v>8.1199999999999992</v>
      </c>
      <c r="W5" s="61">
        <v>28.1</v>
      </c>
      <c r="X5" s="61">
        <v>0</v>
      </c>
      <c r="Y5" s="61">
        <v>0</v>
      </c>
      <c r="Z5" s="61">
        <v>45</v>
      </c>
      <c r="AA5" s="61">
        <v>45</v>
      </c>
      <c r="AB5" s="61">
        <v>0</v>
      </c>
      <c r="AC5" s="61">
        <v>0</v>
      </c>
      <c r="AD5" s="61">
        <v>45</v>
      </c>
      <c r="AE5" s="58">
        <f>Z5/C5</f>
        <v>0.46875</v>
      </c>
      <c r="AF5" s="51">
        <v>8.09</v>
      </c>
      <c r="AG5" s="51">
        <v>8.39</v>
      </c>
      <c r="AH5" s="51">
        <v>8.85</v>
      </c>
      <c r="AI5" s="51">
        <v>3.57</v>
      </c>
      <c r="AJ5" s="51" t="s">
        <v>210</v>
      </c>
      <c r="AN5" s="8"/>
      <c r="AP5" s="2"/>
      <c r="AQ5" s="1"/>
      <c r="AR5" s="1"/>
      <c r="AS5" s="1"/>
      <c r="AT5" s="1"/>
      <c r="AU5" s="1"/>
      <c r="AV5" s="43"/>
      <c r="AW5" s="43"/>
      <c r="AX5" s="43"/>
      <c r="AY5" s="43"/>
      <c r="AZ5" s="1"/>
      <c r="BA5" s="1"/>
      <c r="BB5" s="43"/>
      <c r="BC5" s="1"/>
    </row>
    <row r="6" spans="1:55 16371:16371" ht="15.05" x14ac:dyDescent="0.25">
      <c r="A6" s="52"/>
      <c r="B6" s="53" t="s">
        <v>121</v>
      </c>
      <c r="C6" s="55">
        <v>92</v>
      </c>
      <c r="D6" s="55">
        <v>75</v>
      </c>
      <c r="E6" s="55">
        <v>22</v>
      </c>
      <c r="F6" s="55">
        <v>1251</v>
      </c>
      <c r="G6" s="55" t="s">
        <v>144</v>
      </c>
      <c r="H6" s="55">
        <v>23.6</v>
      </c>
      <c r="I6" s="55">
        <v>797</v>
      </c>
      <c r="J6" s="55">
        <v>156.96</v>
      </c>
      <c r="K6" s="55">
        <v>0</v>
      </c>
      <c r="L6" s="55">
        <v>3</v>
      </c>
      <c r="M6" s="55">
        <v>8</v>
      </c>
      <c r="N6" s="55">
        <v>120</v>
      </c>
      <c r="O6" s="55">
        <v>54</v>
      </c>
      <c r="P6" s="55">
        <v>69</v>
      </c>
      <c r="Q6" s="55">
        <f>ROUND(221.666666666667*6,0)</f>
        <v>1330</v>
      </c>
      <c r="R6" s="51"/>
      <c r="S6" s="55">
        <v>1956</v>
      </c>
      <c r="T6" s="55">
        <v>73</v>
      </c>
      <c r="U6" s="55">
        <v>26.79</v>
      </c>
      <c r="V6" s="55">
        <v>8.82</v>
      </c>
      <c r="W6" s="55">
        <v>18.2</v>
      </c>
      <c r="X6" s="55">
        <v>2</v>
      </c>
      <c r="Y6" s="64">
        <v>0</v>
      </c>
      <c r="Z6" s="55">
        <v>20</v>
      </c>
      <c r="AA6" s="55">
        <v>20</v>
      </c>
      <c r="AB6" s="55">
        <v>0</v>
      </c>
      <c r="AC6" s="55">
        <v>0</v>
      </c>
      <c r="AD6" s="55">
        <v>20</v>
      </c>
      <c r="AE6" s="55">
        <v>0.219</v>
      </c>
      <c r="AF6" s="51">
        <v>7.92</v>
      </c>
      <c r="AG6" s="51">
        <v>8.59</v>
      </c>
      <c r="AH6" s="51">
        <v>8.74</v>
      </c>
      <c r="AI6" s="51">
        <v>1.27</v>
      </c>
      <c r="AJ6" s="51" t="s">
        <v>210</v>
      </c>
      <c r="AN6" s="10"/>
      <c r="AP6" s="10"/>
      <c r="AQ6" s="1"/>
      <c r="AR6" s="1"/>
      <c r="AS6" s="1"/>
      <c r="AT6" s="1"/>
      <c r="AU6" s="1"/>
      <c r="AV6" s="1"/>
      <c r="AW6" s="44"/>
      <c r="AX6" s="1"/>
      <c r="AY6" s="1"/>
      <c r="AZ6" s="1"/>
      <c r="BA6" s="1"/>
      <c r="BB6" s="1"/>
      <c r="BC6" s="1"/>
    </row>
    <row r="7" spans="1:55 16371:16371" ht="15.05" x14ac:dyDescent="0.25">
      <c r="A7" s="52"/>
      <c r="B7" s="59" t="s">
        <v>30</v>
      </c>
      <c r="C7" s="65">
        <v>107</v>
      </c>
      <c r="D7" s="65">
        <v>95</v>
      </c>
      <c r="E7" s="65">
        <v>22</v>
      </c>
      <c r="F7" s="65">
        <v>1613</v>
      </c>
      <c r="G7" s="65" t="s">
        <v>55</v>
      </c>
      <c r="H7" s="65">
        <v>22.09</v>
      </c>
      <c r="I7" s="65">
        <v>1138</v>
      </c>
      <c r="J7" s="65">
        <v>141.72999999999999</v>
      </c>
      <c r="K7" s="65">
        <v>0</v>
      </c>
      <c r="L7" s="65">
        <v>6</v>
      </c>
      <c r="M7" s="65">
        <v>7</v>
      </c>
      <c r="N7" s="65">
        <v>141</v>
      </c>
      <c r="O7" s="65">
        <v>73</v>
      </c>
      <c r="P7" s="65">
        <v>83</v>
      </c>
      <c r="Q7" s="65">
        <v>1367</v>
      </c>
      <c r="R7" s="51"/>
      <c r="S7" s="65">
        <v>2052</v>
      </c>
      <c r="T7" s="65">
        <v>90</v>
      </c>
      <c r="U7" s="65">
        <v>22.8</v>
      </c>
      <c r="V7" s="65">
        <v>9</v>
      </c>
      <c r="W7" s="65">
        <v>15.1</v>
      </c>
      <c r="X7" s="65">
        <v>1</v>
      </c>
      <c r="Y7" s="65">
        <v>1</v>
      </c>
      <c r="Z7" s="65">
        <v>51</v>
      </c>
      <c r="AA7" s="65">
        <v>51</v>
      </c>
      <c r="AB7" s="65">
        <v>0</v>
      </c>
      <c r="AC7" s="65">
        <v>0</v>
      </c>
      <c r="AD7" s="65">
        <v>51</v>
      </c>
      <c r="AE7" s="66">
        <v>0.495</v>
      </c>
      <c r="AF7" s="51">
        <v>7.83</v>
      </c>
      <c r="AG7" s="51">
        <v>7.79</v>
      </c>
      <c r="AH7" s="51">
        <v>8.93</v>
      </c>
      <c r="AI7" s="51">
        <v>3.64</v>
      </c>
      <c r="AJ7" s="51" t="s">
        <v>210</v>
      </c>
      <c r="AN7" s="8"/>
      <c r="AP7" s="2"/>
      <c r="AQ7" s="1"/>
      <c r="AR7" s="1"/>
      <c r="AS7" s="1"/>
      <c r="AT7" s="1"/>
      <c r="AU7" s="1"/>
      <c r="AV7" s="43"/>
      <c r="AW7" s="43"/>
      <c r="AX7" s="43"/>
      <c r="AY7" s="43"/>
      <c r="AZ7" s="1"/>
      <c r="BA7" s="1"/>
      <c r="BB7" s="43"/>
      <c r="BC7" s="1"/>
    </row>
    <row r="8" spans="1:55 16371:16371" ht="15.05" x14ac:dyDescent="0.25">
      <c r="A8" s="52"/>
      <c r="B8" s="53" t="s">
        <v>127</v>
      </c>
      <c r="C8" s="54">
        <v>150</v>
      </c>
      <c r="D8" s="54">
        <v>112</v>
      </c>
      <c r="E8" s="54">
        <v>39</v>
      </c>
      <c r="F8" s="54">
        <v>1637</v>
      </c>
      <c r="G8" s="54">
        <v>63</v>
      </c>
      <c r="H8" s="54">
        <v>22.42</v>
      </c>
      <c r="I8" s="54">
        <v>1145</v>
      </c>
      <c r="J8" s="54">
        <v>142.96</v>
      </c>
      <c r="K8" s="54">
        <v>0</v>
      </c>
      <c r="L8" s="54">
        <v>2</v>
      </c>
      <c r="M8" s="54">
        <v>10</v>
      </c>
      <c r="N8" s="54">
        <v>101</v>
      </c>
      <c r="O8" s="54">
        <v>103</v>
      </c>
      <c r="P8" s="54">
        <v>149</v>
      </c>
      <c r="Q8" s="54">
        <v>527</v>
      </c>
      <c r="R8" s="55">
        <v>2</v>
      </c>
      <c r="S8" s="54">
        <v>4710</v>
      </c>
      <c r="T8" s="54">
        <v>175</v>
      </c>
      <c r="U8" s="54">
        <v>26.91</v>
      </c>
      <c r="V8" s="54">
        <v>8.93</v>
      </c>
      <c r="W8" s="54">
        <v>18</v>
      </c>
      <c r="X8" s="54">
        <v>7</v>
      </c>
      <c r="Y8" s="67">
        <v>0</v>
      </c>
      <c r="Z8" s="54">
        <v>71</v>
      </c>
      <c r="AA8" s="54">
        <v>71</v>
      </c>
      <c r="AB8" s="54">
        <v>0</v>
      </c>
      <c r="AC8" s="54">
        <v>0</v>
      </c>
      <c r="AD8" s="54">
        <v>71</v>
      </c>
      <c r="AE8" s="54">
        <v>0.47299999999999998</v>
      </c>
      <c r="AF8" s="51">
        <v>7.82</v>
      </c>
      <c r="AG8" s="51">
        <v>7.75</v>
      </c>
      <c r="AH8" s="51">
        <v>8.9499999999999993</v>
      </c>
      <c r="AI8" s="51">
        <v>3.61</v>
      </c>
      <c r="AJ8" s="51" t="s">
        <v>210</v>
      </c>
      <c r="AN8" s="10"/>
      <c r="AP8" s="10"/>
      <c r="AQ8" s="1"/>
      <c r="AR8" s="1"/>
      <c r="AS8" s="1"/>
      <c r="AT8" s="1"/>
      <c r="AU8" s="1"/>
      <c r="AV8" s="1"/>
      <c r="AW8" s="44"/>
      <c r="AX8" s="1"/>
      <c r="AY8" s="1"/>
      <c r="AZ8" s="1"/>
      <c r="BA8" s="1"/>
      <c r="BB8" s="1"/>
      <c r="BC8" s="1"/>
    </row>
    <row r="9" spans="1:55 16371:16371" ht="15.05" x14ac:dyDescent="0.25">
      <c r="A9" s="52"/>
      <c r="B9" s="59" t="s">
        <v>45</v>
      </c>
      <c r="C9" s="60">
        <v>55</v>
      </c>
      <c r="D9" s="60">
        <v>46</v>
      </c>
      <c r="E9" s="60">
        <v>12</v>
      </c>
      <c r="F9" s="60">
        <v>603</v>
      </c>
      <c r="G9" s="60">
        <v>56</v>
      </c>
      <c r="H9" s="60">
        <v>17.73</v>
      </c>
      <c r="I9" s="60">
        <v>461</v>
      </c>
      <c r="J9" s="60">
        <v>130.80000000000001</v>
      </c>
      <c r="K9" s="60">
        <v>0</v>
      </c>
      <c r="L9" s="60">
        <v>1</v>
      </c>
      <c r="M9" s="60">
        <v>3</v>
      </c>
      <c r="N9" s="60">
        <v>39</v>
      </c>
      <c r="O9" s="60">
        <v>38</v>
      </c>
      <c r="P9" s="60">
        <v>31</v>
      </c>
      <c r="Q9" s="60">
        <v>375</v>
      </c>
      <c r="R9" s="65">
        <v>0</v>
      </c>
      <c r="S9" s="60">
        <v>680</v>
      </c>
      <c r="T9" s="60">
        <v>18</v>
      </c>
      <c r="U9" s="60">
        <v>37.770000000000003</v>
      </c>
      <c r="V9" s="60">
        <v>10.85</v>
      </c>
      <c r="W9" s="60">
        <v>20.8</v>
      </c>
      <c r="X9" s="60">
        <v>0</v>
      </c>
      <c r="Y9" s="60">
        <v>0</v>
      </c>
      <c r="Z9" s="60">
        <v>26</v>
      </c>
      <c r="AA9" s="60">
        <v>26</v>
      </c>
      <c r="AB9" s="60">
        <v>0</v>
      </c>
      <c r="AC9" s="60">
        <v>0</v>
      </c>
      <c r="AD9" s="60">
        <v>26</v>
      </c>
      <c r="AE9" s="60">
        <v>0.48099999999999998</v>
      </c>
      <c r="AF9" s="51">
        <v>7.8</v>
      </c>
      <c r="AG9" s="51">
        <v>6.87</v>
      </c>
      <c r="AH9" s="51">
        <v>10</v>
      </c>
      <c r="AI9" s="51">
        <v>3.61</v>
      </c>
      <c r="AJ9" s="51" t="s">
        <v>210</v>
      </c>
      <c r="AN9" s="8"/>
      <c r="AP9" s="2"/>
      <c r="AQ9" s="1"/>
      <c r="AR9" s="1"/>
      <c r="AS9" s="1"/>
      <c r="AT9" s="1"/>
      <c r="AU9" s="1"/>
      <c r="AV9" s="1"/>
      <c r="AW9" s="45"/>
      <c r="AX9" s="1"/>
      <c r="AY9" s="1"/>
      <c r="AZ9" s="1"/>
      <c r="BA9" s="1"/>
      <c r="BB9" s="43"/>
      <c r="BC9" s="1"/>
    </row>
    <row r="10" spans="1:55 16371:16371" ht="15.05" x14ac:dyDescent="0.25">
      <c r="A10" s="52"/>
      <c r="B10" s="53" t="s">
        <v>111</v>
      </c>
      <c r="C10" s="54">
        <v>110</v>
      </c>
      <c r="D10" s="54">
        <v>108</v>
      </c>
      <c r="E10" s="54">
        <v>3</v>
      </c>
      <c r="F10" s="54">
        <v>2878</v>
      </c>
      <c r="G10" s="54">
        <v>151</v>
      </c>
      <c r="H10" s="54">
        <v>27.4</v>
      </c>
      <c r="I10" s="54">
        <v>1665</v>
      </c>
      <c r="J10" s="54">
        <v>172.85</v>
      </c>
      <c r="K10" s="54">
        <v>4</v>
      </c>
      <c r="L10" s="54">
        <v>15</v>
      </c>
      <c r="M10" s="54">
        <v>9</v>
      </c>
      <c r="N10" s="54">
        <v>242</v>
      </c>
      <c r="O10" s="54">
        <v>206</v>
      </c>
      <c r="P10" s="54">
        <v>0</v>
      </c>
      <c r="Q10" s="54">
        <v>0</v>
      </c>
      <c r="R10" s="51"/>
      <c r="S10" s="54">
        <v>0</v>
      </c>
      <c r="T10" s="54">
        <v>0</v>
      </c>
      <c r="U10" s="54">
        <v>0</v>
      </c>
      <c r="V10" s="54">
        <v>0</v>
      </c>
      <c r="W10" s="54">
        <v>0</v>
      </c>
      <c r="X10" s="54">
        <v>0</v>
      </c>
      <c r="Y10" s="54">
        <v>0</v>
      </c>
      <c r="Z10" s="54">
        <v>55</v>
      </c>
      <c r="AA10" s="54">
        <v>54</v>
      </c>
      <c r="AB10" s="54">
        <v>1</v>
      </c>
      <c r="AC10" s="54">
        <v>7</v>
      </c>
      <c r="AD10" s="54">
        <v>47</v>
      </c>
      <c r="AE10" s="55">
        <v>0.50900000000000001</v>
      </c>
      <c r="AF10" s="51">
        <v>7.78</v>
      </c>
      <c r="AG10" s="51">
        <v>10</v>
      </c>
      <c r="AH10" s="51">
        <v>0</v>
      </c>
      <c r="AI10" s="51">
        <v>3.91</v>
      </c>
      <c r="AJ10" s="51" t="s">
        <v>203</v>
      </c>
      <c r="AN10" s="10"/>
      <c r="AP10" s="40"/>
      <c r="AQ10" s="1"/>
      <c r="AR10" s="1"/>
      <c r="AS10" s="1"/>
      <c r="AT10" s="1"/>
      <c r="AU10" s="1"/>
      <c r="AV10" s="1"/>
      <c r="AW10" s="45"/>
      <c r="AX10" s="1"/>
      <c r="AY10" s="1"/>
      <c r="AZ10" s="1"/>
      <c r="BA10" s="1"/>
      <c r="BB10" s="1"/>
      <c r="BC10" s="1"/>
    </row>
    <row r="11" spans="1:55 16371:16371" ht="15.05" x14ac:dyDescent="0.25">
      <c r="A11" s="52"/>
      <c r="B11" s="51" t="s">
        <v>167</v>
      </c>
      <c r="C11" s="68">
        <v>34</v>
      </c>
      <c r="D11" s="68">
        <v>31</v>
      </c>
      <c r="E11" s="68">
        <v>12</v>
      </c>
      <c r="F11" s="68">
        <v>513</v>
      </c>
      <c r="G11" s="68">
        <v>70</v>
      </c>
      <c r="H11" s="68">
        <v>27</v>
      </c>
      <c r="I11" s="68">
        <v>355</v>
      </c>
      <c r="J11" s="68">
        <v>144.5</v>
      </c>
      <c r="K11" s="68">
        <v>0</v>
      </c>
      <c r="L11" s="68">
        <v>2</v>
      </c>
      <c r="M11" s="68">
        <v>1</v>
      </c>
      <c r="N11" s="68">
        <v>29</v>
      </c>
      <c r="O11" s="68">
        <v>23</v>
      </c>
      <c r="P11" s="68">
        <v>31</v>
      </c>
      <c r="Q11" s="68">
        <v>610</v>
      </c>
      <c r="R11" s="68">
        <v>2</v>
      </c>
      <c r="S11" s="68">
        <v>850</v>
      </c>
      <c r="T11" s="68">
        <v>23</v>
      </c>
      <c r="U11" s="68">
        <v>36.950000000000003</v>
      </c>
      <c r="V11" s="68">
        <v>8.34</v>
      </c>
      <c r="W11" s="68">
        <v>26.5</v>
      </c>
      <c r="X11" s="68">
        <v>0</v>
      </c>
      <c r="Y11" s="68">
        <v>0</v>
      </c>
      <c r="Z11" s="68">
        <v>20</v>
      </c>
      <c r="AA11" s="68">
        <v>20</v>
      </c>
      <c r="AB11" s="68">
        <v>0</v>
      </c>
      <c r="AC11" s="68">
        <v>0</v>
      </c>
      <c r="AD11" s="68">
        <v>20</v>
      </c>
      <c r="AE11" s="68">
        <v>0.58799999999999997</v>
      </c>
      <c r="AF11" s="51">
        <v>7.73</v>
      </c>
      <c r="AG11" s="51">
        <v>8.1199999999999992</v>
      </c>
      <c r="AH11" s="51">
        <v>8</v>
      </c>
      <c r="AI11" s="51">
        <v>4.66</v>
      </c>
      <c r="AJ11" s="51" t="s">
        <v>210</v>
      </c>
      <c r="AN11" s="2"/>
      <c r="AP11" s="8"/>
      <c r="AQ11" s="1"/>
      <c r="AR11" s="1"/>
      <c r="AS11" s="1"/>
      <c r="AT11" s="1"/>
      <c r="AU11" s="1"/>
      <c r="AV11" s="1"/>
      <c r="AW11" s="45"/>
      <c r="AX11" s="1"/>
      <c r="AY11" s="1"/>
      <c r="AZ11" s="1"/>
      <c r="BA11" s="1"/>
      <c r="BB11" s="43"/>
      <c r="BC11" s="1"/>
    </row>
    <row r="12" spans="1:55 16371:16371" ht="15.05" x14ac:dyDescent="0.25">
      <c r="A12" s="52" t="s">
        <v>213</v>
      </c>
      <c r="B12" s="51" t="s">
        <v>194</v>
      </c>
      <c r="C12" s="61">
        <v>34</v>
      </c>
      <c r="D12" s="61">
        <v>28</v>
      </c>
      <c r="E12" s="61">
        <v>2</v>
      </c>
      <c r="F12" s="61">
        <v>879</v>
      </c>
      <c r="G12" s="61">
        <v>113</v>
      </c>
      <c r="H12" s="61">
        <v>33.799999999999997</v>
      </c>
      <c r="I12" s="61">
        <v>571</v>
      </c>
      <c r="J12" s="61">
        <v>153.94</v>
      </c>
      <c r="K12" s="61">
        <v>1</v>
      </c>
      <c r="L12" s="61">
        <v>5</v>
      </c>
      <c r="M12" s="61">
        <v>1</v>
      </c>
      <c r="N12" s="61">
        <v>97</v>
      </c>
      <c r="O12" s="61">
        <v>28</v>
      </c>
      <c r="P12" s="61"/>
      <c r="Q12" s="62">
        <v>0</v>
      </c>
      <c r="R12" s="51"/>
      <c r="S12" s="51"/>
      <c r="T12" s="69"/>
      <c r="U12" s="51"/>
      <c r="V12" s="51"/>
      <c r="W12" s="51"/>
      <c r="X12" s="51"/>
      <c r="Y12" s="51"/>
      <c r="Z12" s="61">
        <v>20</v>
      </c>
      <c r="AA12" s="61">
        <v>20</v>
      </c>
      <c r="AB12" s="61">
        <v>0</v>
      </c>
      <c r="AC12" s="61">
        <v>1</v>
      </c>
      <c r="AD12" s="61">
        <v>19</v>
      </c>
      <c r="AE12" s="61">
        <v>0.58799999999999997</v>
      </c>
      <c r="AF12" s="51">
        <v>8.1199999999999992</v>
      </c>
      <c r="AG12" s="51">
        <v>10</v>
      </c>
      <c r="AH12" s="51">
        <v>0</v>
      </c>
      <c r="AI12" s="51">
        <v>5.58</v>
      </c>
      <c r="AJ12" s="51" t="s">
        <v>203</v>
      </c>
      <c r="AP12" s="10"/>
      <c r="AQ12" s="1"/>
      <c r="AR12" s="1"/>
      <c r="AS12" s="1"/>
      <c r="AT12" s="1"/>
      <c r="AU12" s="1"/>
      <c r="AV12" s="1"/>
      <c r="AW12" s="45"/>
      <c r="AX12" s="1"/>
      <c r="AY12" s="1"/>
      <c r="AZ12" s="1"/>
      <c r="BA12" s="1"/>
      <c r="BB12" s="43"/>
      <c r="BC12" s="1"/>
    </row>
    <row r="13" spans="1:55 16371:16371" ht="15.05" x14ac:dyDescent="0.25">
      <c r="A13" s="52"/>
      <c r="B13" s="70" t="s">
        <v>195</v>
      </c>
      <c r="C13" s="61">
        <v>25</v>
      </c>
      <c r="D13" s="61">
        <v>13</v>
      </c>
      <c r="E13" s="61">
        <v>6</v>
      </c>
      <c r="F13" s="61">
        <v>124</v>
      </c>
      <c r="G13" s="61" t="s">
        <v>140</v>
      </c>
      <c r="H13" s="61">
        <v>17.71</v>
      </c>
      <c r="I13" s="61">
        <v>74</v>
      </c>
      <c r="J13" s="61">
        <v>167.56</v>
      </c>
      <c r="K13" s="61">
        <v>0</v>
      </c>
      <c r="L13" s="61">
        <v>0</v>
      </c>
      <c r="M13" s="61">
        <v>1</v>
      </c>
      <c r="N13" s="61">
        <v>9</v>
      </c>
      <c r="O13" s="61">
        <v>8</v>
      </c>
      <c r="P13" s="51"/>
      <c r="Q13" s="61">
        <v>468</v>
      </c>
      <c r="R13" s="61">
        <v>1</v>
      </c>
      <c r="S13" s="61">
        <v>517</v>
      </c>
      <c r="T13" s="61">
        <v>26</v>
      </c>
      <c r="U13" s="61">
        <v>19.88</v>
      </c>
      <c r="V13" s="61">
        <v>6.62</v>
      </c>
      <c r="W13" s="61">
        <v>18</v>
      </c>
      <c r="X13" s="61">
        <v>0</v>
      </c>
      <c r="Y13" s="61">
        <v>0</v>
      </c>
      <c r="Z13" s="61">
        <v>11</v>
      </c>
      <c r="AA13" s="61">
        <v>11</v>
      </c>
      <c r="AB13" s="61">
        <v>0</v>
      </c>
      <c r="AC13" s="61">
        <v>0</v>
      </c>
      <c r="AD13" s="61">
        <v>11</v>
      </c>
      <c r="AE13" s="61">
        <v>0.45800000000000002</v>
      </c>
      <c r="AF13" s="51">
        <v>7.15</v>
      </c>
      <c r="AG13" s="51">
        <v>7.59</v>
      </c>
      <c r="AH13" s="51">
        <v>10</v>
      </c>
      <c r="AI13" s="51">
        <v>4.17</v>
      </c>
      <c r="AJ13" s="51" t="s">
        <v>204</v>
      </c>
      <c r="AN13" s="2"/>
    </row>
    <row r="14" spans="1:55 16371:16371" ht="15.05" x14ac:dyDescent="0.25">
      <c r="A14" s="52"/>
      <c r="B14" s="51" t="s">
        <v>3</v>
      </c>
      <c r="C14" s="61">
        <v>20</v>
      </c>
      <c r="D14" s="61">
        <v>20</v>
      </c>
      <c r="E14" s="61">
        <v>3</v>
      </c>
      <c r="F14" s="61">
        <v>523</v>
      </c>
      <c r="G14" s="61" t="s">
        <v>92</v>
      </c>
      <c r="H14" s="61">
        <v>30.76</v>
      </c>
      <c r="I14" s="61">
        <v>382</v>
      </c>
      <c r="J14" s="61">
        <v>136.91</v>
      </c>
      <c r="K14" s="61">
        <v>0</v>
      </c>
      <c r="L14" s="61">
        <v>5</v>
      </c>
      <c r="M14" s="61">
        <v>1</v>
      </c>
      <c r="N14" s="61">
        <v>52</v>
      </c>
      <c r="O14" s="61">
        <v>20</v>
      </c>
      <c r="P14" s="61"/>
      <c r="Q14" s="62">
        <v>0</v>
      </c>
      <c r="R14" s="51"/>
      <c r="S14" s="51"/>
      <c r="T14" s="51"/>
      <c r="U14" s="51"/>
      <c r="V14" s="51"/>
      <c r="W14" s="51"/>
      <c r="X14" s="51"/>
      <c r="Y14" s="51"/>
      <c r="Z14" s="61">
        <v>19</v>
      </c>
      <c r="AA14" s="61">
        <v>16</v>
      </c>
      <c r="AB14" s="61">
        <v>3</v>
      </c>
      <c r="AC14" s="61">
        <v>16</v>
      </c>
      <c r="AD14" s="61">
        <v>0</v>
      </c>
      <c r="AE14" s="61">
        <v>0.95</v>
      </c>
      <c r="AF14" s="51">
        <v>7.13</v>
      </c>
      <c r="AG14" s="51">
        <v>7.33</v>
      </c>
      <c r="AH14" s="51">
        <v>0</v>
      </c>
      <c r="AI14" s="51">
        <v>10</v>
      </c>
      <c r="AJ14" s="51" t="s">
        <v>203</v>
      </c>
      <c r="AN14" s="40"/>
    </row>
    <row r="15" spans="1:55 16371:16371" ht="15.05" x14ac:dyDescent="0.25">
      <c r="A15" s="52"/>
      <c r="B15" s="51" t="s">
        <v>0</v>
      </c>
      <c r="C15" s="61">
        <v>45</v>
      </c>
      <c r="D15" s="61">
        <v>45</v>
      </c>
      <c r="E15" s="61">
        <v>1</v>
      </c>
      <c r="F15" s="61">
        <v>1116</v>
      </c>
      <c r="G15" s="61">
        <v>134</v>
      </c>
      <c r="H15" s="61">
        <v>25.36</v>
      </c>
      <c r="I15" s="61">
        <v>700</v>
      </c>
      <c r="J15" s="61">
        <v>159.41999999999999</v>
      </c>
      <c r="K15" s="61">
        <v>1</v>
      </c>
      <c r="L15" s="61">
        <v>5</v>
      </c>
      <c r="M15" s="61">
        <v>5</v>
      </c>
      <c r="N15" s="61">
        <v>141</v>
      </c>
      <c r="O15" s="61">
        <v>47</v>
      </c>
      <c r="P15" s="61"/>
      <c r="Q15" s="6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  <c r="Z15" s="71">
        <v>13</v>
      </c>
      <c r="AA15" s="60">
        <v>13</v>
      </c>
      <c r="AB15" s="60">
        <v>0</v>
      </c>
      <c r="AC15" s="60">
        <v>0</v>
      </c>
      <c r="AD15" s="60">
        <v>13</v>
      </c>
      <c r="AE15" s="60">
        <v>0.28799999999999998</v>
      </c>
      <c r="AF15" s="51">
        <v>6.89</v>
      </c>
      <c r="AG15" s="51">
        <v>9.06</v>
      </c>
      <c r="AH15" s="51">
        <v>0</v>
      </c>
      <c r="AI15" s="51">
        <v>2.74</v>
      </c>
      <c r="AJ15" s="51" t="s">
        <v>203</v>
      </c>
      <c r="AN15" s="2"/>
    </row>
    <row r="16" spans="1:55 16371:16371" ht="15.05" x14ac:dyDescent="0.25">
      <c r="A16" s="52"/>
      <c r="B16" s="51" t="s">
        <v>196</v>
      </c>
      <c r="C16" s="60">
        <v>7</v>
      </c>
      <c r="D16" s="60">
        <v>7</v>
      </c>
      <c r="E16" s="60">
        <v>1</v>
      </c>
      <c r="F16" s="60">
        <v>184</v>
      </c>
      <c r="G16" s="60">
        <v>54</v>
      </c>
      <c r="H16" s="60">
        <v>30.66</v>
      </c>
      <c r="I16" s="60">
        <v>126</v>
      </c>
      <c r="J16" s="65">
        <v>146.03</v>
      </c>
      <c r="K16" s="60">
        <v>0</v>
      </c>
      <c r="L16" s="65">
        <v>1</v>
      </c>
      <c r="M16" s="60">
        <v>0</v>
      </c>
      <c r="N16" s="60">
        <v>26</v>
      </c>
      <c r="O16" s="60">
        <v>4</v>
      </c>
      <c r="P16" s="60">
        <v>6</v>
      </c>
      <c r="Q16" s="61">
        <v>114</v>
      </c>
      <c r="R16" s="60">
        <v>0</v>
      </c>
      <c r="S16" s="60">
        <v>111</v>
      </c>
      <c r="T16" s="60">
        <v>4</v>
      </c>
      <c r="U16" s="60">
        <v>27.75</v>
      </c>
      <c r="V16" s="60">
        <v>5.84</v>
      </c>
      <c r="W16" s="60">
        <v>28.5</v>
      </c>
      <c r="X16" s="60">
        <v>0</v>
      </c>
      <c r="Y16" s="60">
        <v>0</v>
      </c>
      <c r="Z16" s="60">
        <v>2</v>
      </c>
      <c r="AA16" s="60">
        <v>2</v>
      </c>
      <c r="AB16" s="60">
        <v>0</v>
      </c>
      <c r="AC16" s="60">
        <v>0</v>
      </c>
      <c r="AD16" s="60">
        <v>2</v>
      </c>
      <c r="AE16" s="60">
        <v>0.28499999999999998</v>
      </c>
      <c r="AF16" s="51">
        <v>6.56</v>
      </c>
      <c r="AG16" s="51">
        <v>8.32</v>
      </c>
      <c r="AH16" s="51">
        <v>1.97</v>
      </c>
      <c r="AI16" s="51">
        <v>2.71</v>
      </c>
      <c r="AJ16" s="51" t="s">
        <v>203</v>
      </c>
      <c r="AN16" s="2"/>
    </row>
    <row r="17" spans="1:40" ht="15.05" x14ac:dyDescent="0.25">
      <c r="A17" s="52"/>
      <c r="B17" s="51" t="s">
        <v>197</v>
      </c>
      <c r="C17" s="60">
        <v>28</v>
      </c>
      <c r="D17" s="60">
        <v>27</v>
      </c>
      <c r="E17" s="60">
        <v>5</v>
      </c>
      <c r="F17" s="60">
        <v>826</v>
      </c>
      <c r="G17" s="60">
        <v>73</v>
      </c>
      <c r="H17" s="60">
        <v>41.3</v>
      </c>
      <c r="I17" s="60">
        <v>665</v>
      </c>
      <c r="J17" s="65">
        <v>124.41</v>
      </c>
      <c r="K17" s="60">
        <v>0</v>
      </c>
      <c r="L17" s="65">
        <v>5</v>
      </c>
      <c r="M17" s="60">
        <v>2</v>
      </c>
      <c r="N17" s="60">
        <v>86</v>
      </c>
      <c r="O17" s="60">
        <v>26</v>
      </c>
      <c r="P17" s="60">
        <v>1</v>
      </c>
      <c r="Q17" s="61">
        <v>6</v>
      </c>
      <c r="R17" s="60">
        <v>0</v>
      </c>
      <c r="S17" s="60">
        <v>5</v>
      </c>
      <c r="T17" s="60">
        <v>0</v>
      </c>
      <c r="U17" s="71">
        <v>0</v>
      </c>
      <c r="V17" s="71">
        <v>5</v>
      </c>
      <c r="W17" s="71">
        <v>0</v>
      </c>
      <c r="X17" s="71">
        <v>0</v>
      </c>
      <c r="Y17" s="71">
        <v>0</v>
      </c>
      <c r="Z17" s="60">
        <v>7</v>
      </c>
      <c r="AA17" s="60">
        <v>7</v>
      </c>
      <c r="AB17" s="60">
        <v>0</v>
      </c>
      <c r="AC17" s="60">
        <v>0</v>
      </c>
      <c r="AD17" s="60">
        <v>7</v>
      </c>
      <c r="AE17" s="60">
        <v>0.25</v>
      </c>
      <c r="AF17" s="51">
        <v>5.89</v>
      </c>
      <c r="AG17" s="51">
        <v>7.52</v>
      </c>
      <c r="AH17" s="51">
        <v>1.51</v>
      </c>
      <c r="AI17" s="51">
        <v>2.37</v>
      </c>
      <c r="AJ17" s="51" t="s">
        <v>203</v>
      </c>
      <c r="AN17" s="2"/>
    </row>
    <row r="18" spans="1:40" ht="15.05" x14ac:dyDescent="0.25">
      <c r="A18" s="52"/>
      <c r="B18" s="51" t="s">
        <v>198</v>
      </c>
      <c r="C18" s="61">
        <v>55</v>
      </c>
      <c r="D18" s="61">
        <v>55</v>
      </c>
      <c r="E18" s="61">
        <v>5</v>
      </c>
      <c r="F18" s="61">
        <v>1224</v>
      </c>
      <c r="G18" s="61" t="s">
        <v>199</v>
      </c>
      <c r="H18" s="61">
        <v>24.48</v>
      </c>
      <c r="I18" s="61">
        <v>950</v>
      </c>
      <c r="J18" s="61">
        <v>128.84</v>
      </c>
      <c r="K18" s="61">
        <v>1</v>
      </c>
      <c r="L18" s="61">
        <v>6</v>
      </c>
      <c r="M18" s="61">
        <v>5</v>
      </c>
      <c r="N18" s="61">
        <v>134</v>
      </c>
      <c r="O18" s="61">
        <v>42</v>
      </c>
      <c r="P18" s="61"/>
      <c r="Q18" s="62">
        <v>0</v>
      </c>
      <c r="R18" s="51"/>
      <c r="S18" s="51"/>
      <c r="T18" s="51"/>
      <c r="U18" s="51"/>
      <c r="V18" s="51"/>
      <c r="W18" s="51"/>
      <c r="X18" s="51"/>
      <c r="Y18" s="51"/>
      <c r="Z18" s="61">
        <v>20</v>
      </c>
      <c r="AA18" s="61">
        <v>20</v>
      </c>
      <c r="AB18" s="61">
        <v>0</v>
      </c>
      <c r="AC18" s="61">
        <v>0</v>
      </c>
      <c r="AD18" s="61">
        <v>20</v>
      </c>
      <c r="AE18" s="61">
        <v>0.36299999999999999</v>
      </c>
      <c r="AF18" s="51">
        <v>4.4800000000000004</v>
      </c>
      <c r="AG18" s="51">
        <v>5.41</v>
      </c>
      <c r="AH18" s="51">
        <v>0</v>
      </c>
      <c r="AI18" s="51">
        <v>3.45</v>
      </c>
      <c r="AJ18" s="51" t="s">
        <v>203</v>
      </c>
      <c r="AN18" s="2"/>
    </row>
    <row r="19" spans="1:40" ht="15.05" x14ac:dyDescent="0.25">
      <c r="A19" s="52"/>
      <c r="B19" s="51" t="s">
        <v>200</v>
      </c>
      <c r="C19" s="61">
        <v>8</v>
      </c>
      <c r="D19" s="61">
        <v>5</v>
      </c>
      <c r="E19" s="61">
        <v>0</v>
      </c>
      <c r="F19" s="61">
        <v>79</v>
      </c>
      <c r="G19" s="61">
        <v>36</v>
      </c>
      <c r="H19" s="61">
        <v>15.8</v>
      </c>
      <c r="I19" s="61">
        <v>65</v>
      </c>
      <c r="J19" s="61">
        <v>121.53</v>
      </c>
      <c r="K19" s="61">
        <v>0</v>
      </c>
      <c r="L19" s="61">
        <v>0</v>
      </c>
      <c r="M19" s="61">
        <v>0</v>
      </c>
      <c r="N19" s="61">
        <v>10</v>
      </c>
      <c r="O19" s="61">
        <v>2</v>
      </c>
      <c r="P19" s="51"/>
      <c r="Q19" s="61">
        <v>0</v>
      </c>
      <c r="R19" s="51"/>
      <c r="S19" s="51"/>
      <c r="T19" s="51"/>
      <c r="U19" s="51"/>
      <c r="V19" s="51"/>
      <c r="W19" s="51"/>
      <c r="X19" s="51"/>
      <c r="Y19" s="51"/>
      <c r="Z19" s="61">
        <v>7</v>
      </c>
      <c r="AA19" s="61">
        <v>6</v>
      </c>
      <c r="AB19" s="61">
        <v>1</v>
      </c>
      <c r="AC19" s="61">
        <v>6</v>
      </c>
      <c r="AD19" s="61">
        <v>0</v>
      </c>
      <c r="AE19" s="61">
        <v>0.875</v>
      </c>
      <c r="AF19" s="51">
        <v>3.97</v>
      </c>
      <c r="AG19" s="51">
        <v>3.07</v>
      </c>
      <c r="AH19" s="51">
        <v>0</v>
      </c>
      <c r="AI19" s="51">
        <v>9.1199999999999992</v>
      </c>
      <c r="AJ19" s="51" t="s">
        <v>203</v>
      </c>
      <c r="AN19" s="2"/>
    </row>
    <row r="20" spans="1:40" ht="15.05" x14ac:dyDescent="0.25">
      <c r="A20" s="52"/>
      <c r="B20" s="51" t="s">
        <v>201</v>
      </c>
      <c r="C20" s="61">
        <v>51</v>
      </c>
      <c r="D20" s="61">
        <v>50</v>
      </c>
      <c r="E20" s="61">
        <v>3</v>
      </c>
      <c r="F20" s="61">
        <v>1095</v>
      </c>
      <c r="G20" s="61">
        <v>83</v>
      </c>
      <c r="H20" s="61">
        <v>23.29</v>
      </c>
      <c r="I20" s="61">
        <v>819</v>
      </c>
      <c r="J20" s="61">
        <v>133.69</v>
      </c>
      <c r="K20" s="61">
        <v>0</v>
      </c>
      <c r="L20" s="61">
        <v>4</v>
      </c>
      <c r="M20" s="61">
        <v>3</v>
      </c>
      <c r="N20" s="61">
        <v>125</v>
      </c>
      <c r="O20" s="61">
        <v>35</v>
      </c>
      <c r="P20" s="61"/>
      <c r="Q20" s="61">
        <v>468</v>
      </c>
      <c r="R20" s="51"/>
      <c r="S20" s="51"/>
      <c r="T20" s="51"/>
      <c r="U20" s="51"/>
      <c r="V20" s="51"/>
      <c r="W20" s="51"/>
      <c r="X20" s="51"/>
      <c r="Y20" s="51"/>
      <c r="Z20" s="61">
        <v>31</v>
      </c>
      <c r="AA20" s="61">
        <v>31</v>
      </c>
      <c r="AB20" s="61">
        <v>0</v>
      </c>
      <c r="AC20" s="61">
        <v>0</v>
      </c>
      <c r="AD20" s="61">
        <v>31</v>
      </c>
      <c r="AE20" s="61">
        <v>0.60699999999999998</v>
      </c>
      <c r="AF20" s="51">
        <v>5.19</v>
      </c>
      <c r="AG20" s="51">
        <v>5.77</v>
      </c>
      <c r="AH20" s="51">
        <v>0</v>
      </c>
      <c r="AI20" s="51">
        <v>5.76</v>
      </c>
      <c r="AJ20" s="51" t="s">
        <v>203</v>
      </c>
      <c r="AN20" s="2"/>
    </row>
    <row r="21" spans="1:40" ht="15.05" x14ac:dyDescent="0.25">
      <c r="A21" s="52"/>
      <c r="B21" s="51" t="s">
        <v>202</v>
      </c>
      <c r="C21" s="60">
        <v>43</v>
      </c>
      <c r="D21" s="60">
        <v>25</v>
      </c>
      <c r="E21" s="60">
        <v>7</v>
      </c>
      <c r="F21" s="60">
        <v>258</v>
      </c>
      <c r="G21" s="60">
        <v>68</v>
      </c>
      <c r="H21" s="60">
        <v>14.33</v>
      </c>
      <c r="I21" s="60">
        <v>180</v>
      </c>
      <c r="J21" s="65">
        <v>143.33000000000001</v>
      </c>
      <c r="K21" s="60">
        <v>0</v>
      </c>
      <c r="L21" s="65">
        <v>1</v>
      </c>
      <c r="M21" s="60">
        <v>2</v>
      </c>
      <c r="N21" s="60">
        <v>22</v>
      </c>
      <c r="O21" s="60">
        <v>12</v>
      </c>
      <c r="P21" s="60">
        <v>43</v>
      </c>
      <c r="Q21" s="61">
        <v>726</v>
      </c>
      <c r="R21" s="60">
        <v>1</v>
      </c>
      <c r="S21" s="60">
        <v>1370</v>
      </c>
      <c r="T21" s="60">
        <v>42</v>
      </c>
      <c r="U21" s="60">
        <v>32.61</v>
      </c>
      <c r="V21" s="60">
        <v>10.07</v>
      </c>
      <c r="W21" s="60">
        <v>19.940000000000001</v>
      </c>
      <c r="X21" s="60">
        <v>2</v>
      </c>
      <c r="Y21" s="60">
        <v>0</v>
      </c>
      <c r="Z21" s="60">
        <v>15</v>
      </c>
      <c r="AA21" s="60">
        <v>15</v>
      </c>
      <c r="AB21" s="60">
        <v>0</v>
      </c>
      <c r="AC21" s="60">
        <v>0</v>
      </c>
      <c r="AD21" s="60">
        <v>15</v>
      </c>
      <c r="AE21" s="60">
        <v>0.34799999999999998</v>
      </c>
      <c r="AF21" s="51">
        <v>3.58</v>
      </c>
      <c r="AG21" s="51">
        <v>4.7</v>
      </c>
      <c r="AH21" s="51">
        <v>3.29</v>
      </c>
      <c r="AI21" s="51">
        <v>3.31</v>
      </c>
      <c r="AJ21" s="51" t="s">
        <v>204</v>
      </c>
      <c r="AN21" s="2"/>
    </row>
    <row r="22" spans="1:40" ht="15.05" x14ac:dyDescent="0.25">
      <c r="AN22" s="2"/>
    </row>
    <row r="23" spans="1:40" x14ac:dyDescent="0.25">
      <c r="AH23" s="41"/>
    </row>
    <row r="24" spans="1:40" x14ac:dyDescent="0.25">
      <c r="AH24" s="41"/>
    </row>
    <row r="25" spans="1:40" x14ac:dyDescent="0.25">
      <c r="AH25" s="41"/>
    </row>
    <row r="26" spans="1:40" x14ac:dyDescent="0.25">
      <c r="AH26" s="41"/>
    </row>
    <row r="27" spans="1:40" x14ac:dyDescent="0.25">
      <c r="AH27" s="41"/>
    </row>
    <row r="28" spans="1:40" x14ac:dyDescent="0.25">
      <c r="AH28" s="41"/>
    </row>
  </sheetData>
  <mergeCells count="2">
    <mergeCell ref="A2:A11"/>
    <mergeCell ref="A12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Top 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Shitiz Gupta</dc:creator>
  <cp:lastModifiedBy>Keegan Nunes</cp:lastModifiedBy>
  <dcterms:created xsi:type="dcterms:W3CDTF">2025-09-21T13:02:04Z</dcterms:created>
  <dcterms:modified xsi:type="dcterms:W3CDTF">2025-12-05T08:40:03Z</dcterms:modified>
</cp:coreProperties>
</file>